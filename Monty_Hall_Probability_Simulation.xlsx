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bbd83f1dda526cb1/Documents/"/>
    </mc:Choice>
  </mc:AlternateContent>
  <xr:revisionPtr revIDLastSave="372" documentId="8_{A0AB3F9C-4ECB-43C7-AE9A-D7539FEEE6D8}" xr6:coauthVersionLast="47" xr6:coauthVersionMax="47" xr10:uidLastSave="{2BE5637A-20C6-4C21-8B4D-FC4D60DDC96C}"/>
  <bookViews>
    <workbookView xWindow="-98" yWindow="-98" windowWidth="21795" windowHeight="12975" xr2:uid="{780B9E94-E806-4089-A5E4-D8597E0D8B07}"/>
  </bookViews>
  <sheets>
    <sheet name="A.1" sheetId="1" r:id="rId1"/>
    <sheet name="A.2" sheetId="3" r:id="rId2"/>
    <sheet name="A.3" sheetId="4" r:id="rId3"/>
    <sheet name="A.4"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1" l="1" a="1"/>
  <c r="E5" i="1" s="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2" i="3"/>
  <c r="B3" i="3"/>
  <c r="C3" i="3" s="1"/>
  <c r="B4" i="3"/>
  <c r="C4" i="3" s="1"/>
  <c r="B5" i="3"/>
  <c r="C5" i="3" s="1"/>
  <c r="B6" i="3"/>
  <c r="C6" i="3" s="1"/>
  <c r="B7" i="3"/>
  <c r="C7" i="3" s="1"/>
  <c r="B8" i="3"/>
  <c r="C8" i="3" s="1"/>
  <c r="B9" i="3"/>
  <c r="C9" i="3" s="1"/>
  <c r="B10" i="3"/>
  <c r="C10" i="3" s="1"/>
  <c r="B11" i="3"/>
  <c r="C11" i="3" s="1"/>
  <c r="B12" i="3"/>
  <c r="C12" i="3" s="1"/>
  <c r="B13" i="3"/>
  <c r="C13" i="3" s="1"/>
  <c r="B14" i="3"/>
  <c r="C14" i="3" s="1"/>
  <c r="B15" i="3"/>
  <c r="C15" i="3" s="1"/>
  <c r="B16" i="3"/>
  <c r="C16" i="3" s="1"/>
  <c r="B17" i="3"/>
  <c r="C17" i="3" s="1"/>
  <c r="B18" i="3"/>
  <c r="C18" i="3" s="1"/>
  <c r="B19" i="3"/>
  <c r="C19" i="3" s="1"/>
  <c r="B20" i="3"/>
  <c r="C20" i="3" s="1"/>
  <c r="B21" i="3"/>
  <c r="C21" i="3" s="1"/>
  <c r="B22" i="3"/>
  <c r="C22" i="3" s="1"/>
  <c r="B23" i="3"/>
  <c r="C23" i="3" s="1"/>
  <c r="B24" i="3"/>
  <c r="C24" i="3" s="1"/>
  <c r="B25" i="3"/>
  <c r="C25" i="3" s="1"/>
  <c r="B26" i="3"/>
  <c r="C26" i="3" s="1"/>
  <c r="B27" i="3"/>
  <c r="C27" i="3" s="1"/>
  <c r="B28" i="3"/>
  <c r="C28" i="3" s="1"/>
  <c r="B29" i="3"/>
  <c r="C29" i="3" s="1"/>
  <c r="B30" i="3"/>
  <c r="C30" i="3" s="1"/>
  <c r="B31" i="3"/>
  <c r="C31" i="3" s="1"/>
  <c r="B32" i="3"/>
  <c r="C32" i="3" s="1"/>
  <c r="B33" i="3"/>
  <c r="C33" i="3" s="1"/>
  <c r="B34" i="3"/>
  <c r="C34" i="3" s="1"/>
  <c r="B35" i="3"/>
  <c r="C35" i="3" s="1"/>
  <c r="B36" i="3"/>
  <c r="C36" i="3" s="1"/>
  <c r="B37" i="3"/>
  <c r="C37" i="3" s="1"/>
  <c r="B38" i="3"/>
  <c r="C38" i="3" s="1"/>
  <c r="B39" i="3"/>
  <c r="C39" i="3" s="1"/>
  <c r="B40" i="3"/>
  <c r="C40" i="3" s="1"/>
  <c r="B41" i="3"/>
  <c r="C41" i="3" s="1"/>
  <c r="B42" i="3"/>
  <c r="C42" i="3" s="1"/>
  <c r="B43" i="3"/>
  <c r="C43" i="3" s="1"/>
  <c r="B44" i="3"/>
  <c r="C44" i="3" s="1"/>
  <c r="B45" i="3"/>
  <c r="C45" i="3" s="1"/>
  <c r="B46" i="3"/>
  <c r="C46" i="3" s="1"/>
  <c r="B47" i="3"/>
  <c r="C47" i="3" s="1"/>
  <c r="B48" i="3"/>
  <c r="C48" i="3" s="1"/>
  <c r="B49" i="3"/>
  <c r="C49" i="3" s="1"/>
  <c r="B50" i="3"/>
  <c r="C50" i="3" s="1"/>
  <c r="B51" i="3"/>
  <c r="C51" i="3" s="1"/>
  <c r="B2" i="3"/>
  <c r="C2" i="3" s="1"/>
  <c r="F4" i="1" a="1"/>
  <c r="F4" i="1" s="1"/>
  <c r="F5" i="1" a="1"/>
  <c r="F5" i="1" s="1"/>
  <c r="F6" i="1" a="1"/>
  <c r="F6" i="1" s="1"/>
  <c r="F7" i="1" a="1"/>
  <c r="F7" i="1" s="1"/>
  <c r="F8" i="1" a="1"/>
  <c r="F8" i="1"/>
  <c r="F9" i="1" a="1"/>
  <c r="F9" i="1" s="1"/>
  <c r="F10" i="1" a="1"/>
  <c r="F10" i="1" s="1"/>
  <c r="F11" i="1" a="1"/>
  <c r="F11" i="1" s="1"/>
  <c r="F3" i="1" a="1"/>
  <c r="F3" i="1" s="1"/>
  <c r="E4" i="1" a="1"/>
  <c r="E4" i="1" s="1"/>
  <c r="E6" i="1" a="1"/>
  <c r="E6" i="1"/>
  <c r="E7" i="1" a="1"/>
  <c r="E7" i="1" s="1"/>
  <c r="E8" i="1" a="1"/>
  <c r="E8" i="1" s="1"/>
  <c r="E9" i="1" a="1"/>
  <c r="E9" i="1"/>
  <c r="E10" i="1" a="1"/>
  <c r="E10" i="1" s="1"/>
  <c r="E11" i="1" a="1"/>
  <c r="E11" i="1"/>
  <c r="E3" i="1" a="1"/>
  <c r="E3" i="1" s="1"/>
  <c r="H49" i="3" l="1"/>
  <c r="H31" i="3"/>
  <c r="G13" i="3"/>
  <c r="G26" i="3"/>
  <c r="H50" i="3"/>
  <c r="H32" i="3"/>
  <c r="H14" i="3"/>
  <c r="G25" i="3"/>
  <c r="G7" i="3"/>
  <c r="H51" i="3"/>
  <c r="H33" i="3"/>
  <c r="H15" i="3"/>
  <c r="H48" i="3"/>
  <c r="H30" i="3"/>
  <c r="H11" i="3"/>
  <c r="G12" i="3"/>
  <c r="H47" i="3"/>
  <c r="H29" i="3"/>
  <c r="H38" i="3"/>
  <c r="H20" i="3"/>
  <c r="G31" i="3"/>
  <c r="H37" i="3"/>
  <c r="H19" i="3"/>
  <c r="G30" i="3"/>
  <c r="H36" i="3"/>
  <c r="H18" i="3"/>
  <c r="G29" i="3"/>
  <c r="H35" i="3"/>
  <c r="H17" i="3"/>
  <c r="H34" i="3"/>
  <c r="H16" i="3"/>
  <c r="G11" i="3"/>
  <c r="H46" i="3"/>
  <c r="H10" i="3"/>
  <c r="H45" i="3"/>
  <c r="H27" i="3"/>
  <c r="H9" i="3"/>
  <c r="H12" i="3"/>
  <c r="H28" i="3"/>
  <c r="G8" i="3"/>
  <c r="H44" i="3"/>
  <c r="H26" i="3"/>
  <c r="H8" i="3"/>
  <c r="H13" i="3"/>
  <c r="H43" i="3"/>
  <c r="H25" i="3"/>
  <c r="H7" i="3"/>
  <c r="G42" i="3"/>
  <c r="G24" i="3"/>
  <c r="H24" i="3"/>
  <c r="G5" i="3"/>
  <c r="G40" i="3"/>
  <c r="G4" i="3"/>
  <c r="H40" i="3"/>
  <c r="H22" i="3"/>
  <c r="H4" i="3"/>
  <c r="G6" i="3"/>
  <c r="H42" i="3"/>
  <c r="H6" i="3"/>
  <c r="G41" i="3"/>
  <c r="G23" i="3"/>
  <c r="H41" i="3"/>
  <c r="H23" i="3"/>
  <c r="H5" i="3"/>
  <c r="G22" i="3"/>
  <c r="H39" i="3"/>
  <c r="H21" i="3"/>
  <c r="H3" i="3"/>
  <c r="H2" i="3"/>
  <c r="G49" i="3"/>
  <c r="G47" i="3"/>
  <c r="G44" i="3"/>
  <c r="G48" i="3"/>
  <c r="G43" i="3"/>
  <c r="G38" i="3"/>
  <c r="G20" i="3"/>
  <c r="G37" i="3"/>
  <c r="G19" i="3"/>
  <c r="G36" i="3"/>
  <c r="G18" i="3"/>
  <c r="G35" i="3"/>
  <c r="G17" i="3"/>
  <c r="G2" i="3"/>
  <c r="G34" i="3"/>
  <c r="G16" i="3"/>
  <c r="G51" i="3"/>
  <c r="G33" i="3"/>
  <c r="G15" i="3"/>
  <c r="G50" i="3"/>
  <c r="G32" i="3"/>
  <c r="G14" i="3"/>
  <c r="G45" i="3"/>
  <c r="G27" i="3"/>
  <c r="G9" i="3"/>
  <c r="G46" i="3"/>
  <c r="G28" i="3"/>
  <c r="G10" i="3"/>
  <c r="G39" i="3"/>
  <c r="G21" i="3"/>
  <c r="G3" i="3"/>
  <c r="E44" i="3"/>
  <c r="E43" i="3"/>
  <c r="E42" i="3"/>
  <c r="E41" i="3"/>
  <c r="E40" i="3"/>
  <c r="E38" i="3"/>
  <c r="E26" i="3"/>
  <c r="D47" i="3"/>
  <c r="E20" i="3"/>
  <c r="E25" i="3"/>
  <c r="D42" i="3"/>
  <c r="E8" i="3"/>
  <c r="D38" i="3"/>
  <c r="E7" i="3"/>
  <c r="E24" i="3"/>
  <c r="E23" i="3"/>
  <c r="E22" i="3"/>
  <c r="D29" i="3"/>
  <c r="E6" i="3"/>
  <c r="D25" i="3"/>
  <c r="E5" i="3"/>
  <c r="D24" i="3"/>
  <c r="E4" i="3"/>
  <c r="D11" i="3"/>
  <c r="D8" i="3"/>
  <c r="E37" i="3"/>
  <c r="E19" i="3"/>
  <c r="D7" i="3"/>
  <c r="E18" i="3"/>
  <c r="E35" i="3"/>
  <c r="E16" i="3"/>
  <c r="E51" i="3"/>
  <c r="E33" i="3"/>
  <c r="E15" i="3"/>
  <c r="E36" i="3"/>
  <c r="D6" i="3"/>
  <c r="E17" i="3"/>
  <c r="E2" i="3"/>
  <c r="E34" i="3"/>
  <c r="D49" i="3"/>
  <c r="E50" i="3"/>
  <c r="E32" i="3"/>
  <c r="E14" i="3"/>
  <c r="E49" i="3"/>
  <c r="E31" i="3"/>
  <c r="E13" i="3"/>
  <c r="E48" i="3"/>
  <c r="E30" i="3"/>
  <c r="E12" i="3"/>
  <c r="E47" i="3"/>
  <c r="E29" i="3"/>
  <c r="E11" i="3"/>
  <c r="D37" i="3"/>
  <c r="E46" i="3"/>
  <c r="E28" i="3"/>
  <c r="E10" i="3"/>
  <c r="D30" i="3"/>
  <c r="E45" i="3"/>
  <c r="E27" i="3"/>
  <c r="E9" i="3"/>
  <c r="D19" i="3"/>
  <c r="D13" i="3"/>
  <c r="D12" i="3"/>
  <c r="E39" i="3"/>
  <c r="E21" i="3"/>
  <c r="E3" i="3"/>
  <c r="D46" i="3"/>
  <c r="D44" i="3"/>
  <c r="D22" i="3"/>
  <c r="D43" i="3"/>
  <c r="D20" i="3"/>
  <c r="D41" i="3"/>
  <c r="D18" i="3"/>
  <c r="D45" i="3"/>
  <c r="D23" i="3"/>
  <c r="D40" i="3"/>
  <c r="D17" i="3"/>
  <c r="D36" i="3"/>
  <c r="D35" i="3"/>
  <c r="D10" i="3"/>
  <c r="D31" i="3"/>
  <c r="D9" i="3"/>
  <c r="D28" i="3"/>
  <c r="D27" i="3"/>
  <c r="D5" i="3"/>
  <c r="D48" i="3"/>
  <c r="D26" i="3"/>
  <c r="D4" i="3"/>
  <c r="D34" i="3"/>
  <c r="D16" i="3"/>
  <c r="D51" i="3"/>
  <c r="D33" i="3"/>
  <c r="D15" i="3"/>
  <c r="D50" i="3"/>
  <c r="D32" i="3"/>
  <c r="D14" i="3"/>
  <c r="D39" i="3"/>
  <c r="D21" i="3"/>
  <c r="D3" i="3"/>
  <c r="D2" i="3"/>
  <c r="C5" i="4" l="1"/>
  <c r="C3" i="4"/>
  <c r="C2" i="4"/>
  <c r="C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<sst xmlns="http://schemas.openxmlformats.org/spreadsheetml/2006/main" count="77" uniqueCount="47">
  <si>
    <t>Door 1</t>
  </si>
  <si>
    <t>Door 2</t>
  </si>
  <si>
    <t>Door 3</t>
  </si>
  <si>
    <t>Choice</t>
  </si>
  <si>
    <t>Result if Staying</t>
  </si>
  <si>
    <t>Result if Switching</t>
  </si>
  <si>
    <t xml:space="preserve">Goat </t>
  </si>
  <si>
    <t>Car</t>
  </si>
  <si>
    <t>Goat</t>
  </si>
  <si>
    <t>Car Door</t>
  </si>
  <si>
    <t>Total Wins if Staying</t>
  </si>
  <si>
    <t>Total Wins if Switching</t>
  </si>
  <si>
    <t>Winning Probability (Stay)</t>
  </si>
  <si>
    <t>Winning Probability (Switch)</t>
  </si>
  <si>
    <t>Simulation</t>
  </si>
  <si>
    <t xml:space="preserve">This happens because when you first pick a door, you have a 2 out of 3 chance of picking a goat. </t>
  </si>
  <si>
    <t xml:space="preserve">Because being wrong at the start is more likely, switching "flips" those bad odds into a win. </t>
  </si>
  <si>
    <t>Even though the numbers in the Excel sheet change every time you refresh it, the switch strategy consistently wins more often because it follows this mathematical logic.</t>
  </si>
  <si>
    <t>The results of my 50-trial simulation show that Switching is the better strategy to win the game.</t>
  </si>
  <si>
    <t xml:space="preserve">Since the host must open a door to show you a goat, switching means you will win every time your first pick was wrong. </t>
  </si>
  <si>
    <t>1 * 1/3</t>
  </si>
  <si>
    <t>=</t>
  </si>
  <si>
    <t>Conditional Probability Formula:</t>
  </si>
  <si>
    <t>Substantiating our findings:</t>
  </si>
  <si>
    <t>Interpretation:</t>
  </si>
  <si>
    <t>When you first pick a door, there is a 1/3 chance you are right and a 2/3 chance you are wrong.</t>
  </si>
  <si>
    <r>
      <rPr>
        <b/>
        <sz val="12"/>
        <color theme="1"/>
        <rFont val="Cambria"/>
        <family val="1"/>
      </rPr>
      <t>C</t>
    </r>
    <r>
      <rPr>
        <b/>
        <vertAlign val="subscript"/>
        <sz val="12"/>
        <color theme="1"/>
        <rFont val="Cambria"/>
        <family val="1"/>
      </rPr>
      <t>x</t>
    </r>
    <r>
      <rPr>
        <sz val="12"/>
        <color theme="1"/>
        <rFont val="Cambria"/>
        <family val="1"/>
      </rPr>
      <t xml:space="preserve"> is the event that Car is behind Door x where x = 1,2,3</t>
    </r>
  </si>
  <si>
    <r>
      <rPr>
        <b/>
        <sz val="12"/>
        <color theme="1"/>
        <rFont val="Cambria"/>
        <family val="1"/>
      </rPr>
      <t>H</t>
    </r>
    <r>
      <rPr>
        <b/>
        <vertAlign val="subscript"/>
        <sz val="12"/>
        <color theme="1"/>
        <rFont val="Cambria"/>
        <family val="1"/>
      </rPr>
      <t>y</t>
    </r>
    <r>
      <rPr>
        <vertAlign val="subscript"/>
        <sz val="12"/>
        <color theme="1"/>
        <rFont val="Cambria"/>
        <family val="1"/>
      </rPr>
      <t xml:space="preserve"> </t>
    </r>
    <r>
      <rPr>
        <sz val="12"/>
        <color theme="1"/>
        <rFont val="Cambria"/>
        <family val="1"/>
      </rPr>
      <t>is the event that Host opens Door y where y = 1,2,3</t>
    </r>
  </si>
  <si>
    <r>
      <rPr>
        <b/>
        <sz val="12"/>
        <color theme="1"/>
        <rFont val="Cambria"/>
        <family val="1"/>
      </rPr>
      <t>P(H</t>
    </r>
    <r>
      <rPr>
        <b/>
        <vertAlign val="subscript"/>
        <sz val="12"/>
        <color theme="1"/>
        <rFont val="Cambria"/>
        <family val="1"/>
      </rPr>
      <t>y</t>
    </r>
    <r>
      <rPr>
        <b/>
        <sz val="12"/>
        <color theme="1"/>
        <rFont val="Cambria"/>
        <family val="1"/>
      </rPr>
      <t>|C</t>
    </r>
    <r>
      <rPr>
        <b/>
        <vertAlign val="subscript"/>
        <sz val="12"/>
        <color theme="1"/>
        <rFont val="Cambria"/>
        <family val="1"/>
      </rPr>
      <t>x</t>
    </r>
    <r>
      <rPr>
        <b/>
        <sz val="12"/>
        <color theme="1"/>
        <rFont val="Cambria"/>
        <family val="1"/>
      </rPr>
      <t>)</t>
    </r>
    <r>
      <rPr>
        <sz val="12"/>
        <color theme="1"/>
        <rFont val="Cambria"/>
        <family val="1"/>
      </rPr>
      <t xml:space="preserve"> is the probability the Host open Door y if the car is actually behind Door x</t>
    </r>
  </si>
  <si>
    <r>
      <rPr>
        <b/>
        <sz val="12"/>
        <color theme="1"/>
        <rFont val="Cambria"/>
        <family val="1"/>
      </rPr>
      <t>P(C</t>
    </r>
    <r>
      <rPr>
        <b/>
        <vertAlign val="subscript"/>
        <sz val="12"/>
        <color theme="1"/>
        <rFont val="Cambria"/>
        <family val="1"/>
      </rPr>
      <t>x</t>
    </r>
    <r>
      <rPr>
        <b/>
        <sz val="12"/>
        <color theme="1"/>
        <rFont val="Cambria"/>
        <family val="1"/>
      </rPr>
      <t>)</t>
    </r>
    <r>
      <rPr>
        <sz val="12"/>
        <color theme="1"/>
        <rFont val="Cambria"/>
        <family val="1"/>
      </rPr>
      <t xml:space="preserve"> is the probability the Car was behind that Door to begin with 1/3</t>
    </r>
  </si>
  <si>
    <r>
      <rPr>
        <b/>
        <sz val="12"/>
        <color theme="1"/>
        <rFont val="Cambria"/>
        <family val="1"/>
      </rPr>
      <t>P(H</t>
    </r>
    <r>
      <rPr>
        <b/>
        <vertAlign val="subscript"/>
        <sz val="12"/>
        <color theme="1"/>
        <rFont val="Cambria"/>
        <family val="1"/>
      </rPr>
      <t>y</t>
    </r>
    <r>
      <rPr>
        <b/>
        <sz val="12"/>
        <color theme="1"/>
        <rFont val="Cambria"/>
        <family val="1"/>
      </rPr>
      <t>)</t>
    </r>
    <r>
      <rPr>
        <sz val="12"/>
        <color theme="1"/>
        <rFont val="Cambria"/>
        <family val="1"/>
      </rPr>
      <t xml:space="preserve"> is the total probability that the Host opens Door y (1/2)</t>
    </r>
  </si>
  <si>
    <r>
      <t>P(C</t>
    </r>
    <r>
      <rPr>
        <vertAlign val="subscript"/>
        <sz val="12"/>
        <color theme="1"/>
        <rFont val="Cambria"/>
        <family val="1"/>
      </rPr>
      <t>x</t>
    </r>
    <r>
      <rPr>
        <sz val="12"/>
        <color theme="1"/>
        <rFont val="Cambria"/>
        <family val="1"/>
      </rPr>
      <t>|H</t>
    </r>
    <r>
      <rPr>
        <vertAlign val="subscript"/>
        <sz val="12"/>
        <color theme="1"/>
        <rFont val="Cambria"/>
        <family val="1"/>
      </rPr>
      <t>y</t>
    </r>
    <r>
      <rPr>
        <sz val="12"/>
        <color theme="1"/>
        <rFont val="Cambria"/>
        <family val="1"/>
      </rPr>
      <t>) =</t>
    </r>
  </si>
  <si>
    <r>
      <t>P(H</t>
    </r>
    <r>
      <rPr>
        <vertAlign val="subscript"/>
        <sz val="12"/>
        <color theme="1"/>
        <rFont val="Cambria"/>
        <family val="1"/>
      </rPr>
      <t>y</t>
    </r>
    <r>
      <rPr>
        <sz val="12"/>
        <color theme="1"/>
        <rFont val="Cambria"/>
        <family val="1"/>
      </rPr>
      <t>|C</t>
    </r>
    <r>
      <rPr>
        <vertAlign val="subscript"/>
        <sz val="12"/>
        <color theme="1"/>
        <rFont val="Cambria"/>
        <family val="1"/>
      </rPr>
      <t>x</t>
    </r>
    <r>
      <rPr>
        <sz val="12"/>
        <color theme="1"/>
        <rFont val="Cambria"/>
        <family val="1"/>
      </rPr>
      <t>) * P(C</t>
    </r>
    <r>
      <rPr>
        <vertAlign val="subscript"/>
        <sz val="12"/>
        <color theme="1"/>
        <rFont val="Cambria"/>
        <family val="1"/>
      </rPr>
      <t>x</t>
    </r>
    <r>
      <rPr>
        <sz val="12"/>
        <color theme="1"/>
        <rFont val="Cambria"/>
        <family val="1"/>
      </rPr>
      <t>)</t>
    </r>
  </si>
  <si>
    <r>
      <t>P(H</t>
    </r>
    <r>
      <rPr>
        <vertAlign val="subscript"/>
        <sz val="12"/>
        <color theme="1"/>
        <rFont val="Cambria"/>
        <family val="1"/>
      </rPr>
      <t>y</t>
    </r>
    <r>
      <rPr>
        <sz val="12"/>
        <color theme="1"/>
        <rFont val="Cambria"/>
        <family val="1"/>
      </rPr>
      <t xml:space="preserve">) </t>
    </r>
  </si>
  <si>
    <r>
      <t>Suppose you chose Door 1. The host then opens Door 3 to reveal a goat. We want to find the probability that the car is behind Door 2, which is</t>
    </r>
    <r>
      <rPr>
        <b/>
        <sz val="12"/>
        <color theme="1"/>
        <rFont val="Cambria"/>
        <family val="1"/>
      </rPr>
      <t xml:space="preserve"> P(C</t>
    </r>
    <r>
      <rPr>
        <b/>
        <vertAlign val="subscript"/>
        <sz val="12"/>
        <color theme="1"/>
        <rFont val="Cambria"/>
        <family val="1"/>
      </rPr>
      <t>2</t>
    </r>
    <r>
      <rPr>
        <b/>
        <sz val="12"/>
        <color theme="1"/>
        <rFont val="Cambria"/>
        <family val="1"/>
      </rPr>
      <t>|H</t>
    </r>
    <r>
      <rPr>
        <b/>
        <vertAlign val="subscript"/>
        <sz val="12"/>
        <color theme="1"/>
        <rFont val="Cambria"/>
        <family val="1"/>
      </rPr>
      <t>3</t>
    </r>
    <r>
      <rPr>
        <b/>
        <sz val="12"/>
        <color theme="1"/>
        <rFont val="Cambria"/>
        <family val="1"/>
      </rPr>
      <t xml:space="preserve">) </t>
    </r>
    <r>
      <rPr>
        <sz val="12"/>
        <color theme="1"/>
        <rFont val="Cambria"/>
        <family val="1"/>
      </rPr>
      <t>.</t>
    </r>
  </si>
  <si>
    <r>
      <t>P(C</t>
    </r>
    <r>
      <rPr>
        <vertAlign val="subscript"/>
        <sz val="12"/>
        <color theme="1"/>
        <rFont val="Cambria"/>
        <family val="1"/>
      </rPr>
      <t>2</t>
    </r>
    <r>
      <rPr>
        <sz val="12"/>
        <color theme="1"/>
        <rFont val="Cambria"/>
        <family val="1"/>
      </rPr>
      <t>|H</t>
    </r>
    <r>
      <rPr>
        <vertAlign val="subscript"/>
        <sz val="12"/>
        <color theme="1"/>
        <rFont val="Cambria"/>
        <family val="1"/>
      </rPr>
      <t>3</t>
    </r>
    <r>
      <rPr>
        <sz val="12"/>
        <color theme="1"/>
        <rFont val="Cambria"/>
        <family val="1"/>
      </rPr>
      <t>) =</t>
    </r>
  </si>
  <si>
    <t>In the Monty Hall problem, choosing to stay is a bet that your initial 1/3 pick was correct.</t>
  </si>
  <si>
    <t>The host’s action of opening a door isn't random; he is forced to show you a goat. By doing this, he doesn't change the original odds, but he filters the information.</t>
  </si>
  <si>
    <r>
      <rPr>
        <b/>
        <sz val="12"/>
        <color theme="1"/>
        <rFont val="Cambria"/>
        <family val="1"/>
      </rPr>
      <t>P(C</t>
    </r>
    <r>
      <rPr>
        <b/>
        <vertAlign val="subscript"/>
        <sz val="12"/>
        <color theme="1"/>
        <rFont val="Cambria"/>
        <family val="1"/>
      </rPr>
      <t>2</t>
    </r>
    <r>
      <rPr>
        <b/>
        <sz val="12"/>
        <color theme="1"/>
        <rFont val="Cambria"/>
        <family val="1"/>
      </rPr>
      <t>)</t>
    </r>
    <r>
      <rPr>
        <sz val="12"/>
        <color theme="1"/>
        <rFont val="Cambria"/>
        <family val="1"/>
      </rPr>
      <t xml:space="preserve"> is the initial probability the Car behind the Door 2is 1/3.</t>
    </r>
  </si>
  <si>
    <r>
      <rPr>
        <b/>
        <sz val="12"/>
        <color theme="1"/>
        <rFont val="Cambria"/>
        <family val="1"/>
      </rPr>
      <t>P(H</t>
    </r>
    <r>
      <rPr>
        <b/>
        <vertAlign val="subscript"/>
        <sz val="12"/>
        <color theme="1"/>
        <rFont val="Cambria"/>
        <family val="1"/>
      </rPr>
      <t>3</t>
    </r>
    <r>
      <rPr>
        <b/>
        <sz val="12"/>
        <color theme="1"/>
        <rFont val="Cambria"/>
        <family val="1"/>
      </rPr>
      <t>|C</t>
    </r>
    <r>
      <rPr>
        <b/>
        <vertAlign val="subscript"/>
        <sz val="12"/>
        <color theme="1"/>
        <rFont val="Cambria"/>
        <family val="1"/>
      </rPr>
      <t>2</t>
    </r>
    <r>
      <rPr>
        <b/>
        <sz val="12"/>
        <color theme="1"/>
        <rFont val="Cambria"/>
        <family val="1"/>
      </rPr>
      <t>)</t>
    </r>
    <r>
      <rPr>
        <sz val="12"/>
        <color theme="1"/>
        <rFont val="Cambria"/>
        <family val="1"/>
      </rPr>
      <t xml:space="preserve"> is if the Car is actually behind Door 2, and you picked Door 1, the Host is forced to open Door 3 to show the goat. Therefore, the probability is 1 or 100%.</t>
    </r>
  </si>
  <si>
    <t>However, choosing to switch is a bet that your initial pick was wrong—a much more likely scenario with a 2/3 probability.</t>
  </si>
  <si>
    <t>Since it was more likely (2/3) that the car was in the group of doors you didn't pick, and the host just cleared out one of the probabilities from that group, all of that 2/3 probability is now concentrated on the one remaining door.</t>
  </si>
  <si>
    <t>Across multiple refreshes of the simulation, the 'Switch' strategy consistently achieves a win rate near 66.7% (2/3), while 'Staying' remains near 33.3% (1/3).</t>
  </si>
  <si>
    <r>
      <rPr>
        <b/>
        <sz val="12"/>
        <color theme="1"/>
        <rFont val="Cambria"/>
        <family val="1"/>
      </rPr>
      <t>P(H</t>
    </r>
    <r>
      <rPr>
        <b/>
        <vertAlign val="subscript"/>
        <sz val="12"/>
        <color theme="1"/>
        <rFont val="Cambria"/>
        <family val="1"/>
      </rPr>
      <t>3</t>
    </r>
    <r>
      <rPr>
        <b/>
        <sz val="12"/>
        <color theme="1"/>
        <rFont val="Cambria"/>
        <family val="1"/>
      </rPr>
      <t>)</t>
    </r>
    <r>
      <rPr>
        <sz val="12"/>
        <color theme="1"/>
        <rFont val="Cambria"/>
        <family val="1"/>
      </rPr>
      <t xml:space="preserve"> = P(H</t>
    </r>
    <r>
      <rPr>
        <vertAlign val="subscript"/>
        <sz val="12"/>
        <color theme="1"/>
        <rFont val="Cambria"/>
        <family val="1"/>
      </rPr>
      <t>3</t>
    </r>
    <r>
      <rPr>
        <sz val="12"/>
        <color theme="1"/>
        <rFont val="Cambria"/>
        <family val="1"/>
      </rPr>
      <t>|C</t>
    </r>
    <r>
      <rPr>
        <vertAlign val="subscript"/>
        <sz val="12"/>
        <color theme="1"/>
        <rFont val="Cambria"/>
        <family val="1"/>
      </rPr>
      <t>1</t>
    </r>
    <r>
      <rPr>
        <sz val="12"/>
        <color theme="1"/>
        <rFont val="Cambria"/>
        <family val="1"/>
      </rPr>
      <t>) *P(C</t>
    </r>
    <r>
      <rPr>
        <vertAlign val="subscript"/>
        <sz val="12"/>
        <color theme="1"/>
        <rFont val="Cambria"/>
        <family val="1"/>
      </rPr>
      <t>1</t>
    </r>
    <r>
      <rPr>
        <sz val="12"/>
        <color theme="1"/>
        <rFont val="Cambria"/>
        <family val="1"/>
      </rPr>
      <t>) + P(H</t>
    </r>
    <r>
      <rPr>
        <vertAlign val="subscript"/>
        <sz val="12"/>
        <color theme="1"/>
        <rFont val="Cambria"/>
        <family val="1"/>
      </rPr>
      <t>3</t>
    </r>
    <r>
      <rPr>
        <sz val="12"/>
        <color theme="1"/>
        <rFont val="Cambria"/>
        <family val="1"/>
      </rPr>
      <t>|C</t>
    </r>
    <r>
      <rPr>
        <vertAlign val="subscript"/>
        <sz val="12"/>
        <color theme="1"/>
        <rFont val="Cambria"/>
        <family val="1"/>
      </rPr>
      <t>2</t>
    </r>
    <r>
      <rPr>
        <sz val="12"/>
        <color theme="1"/>
        <rFont val="Cambria"/>
        <family val="1"/>
      </rPr>
      <t>)*P(C</t>
    </r>
    <r>
      <rPr>
        <vertAlign val="subscript"/>
        <sz val="12"/>
        <color theme="1"/>
        <rFont val="Cambria"/>
        <family val="1"/>
      </rPr>
      <t>2</t>
    </r>
    <r>
      <rPr>
        <sz val="12"/>
        <color theme="1"/>
        <rFont val="Cambria"/>
        <family val="1"/>
      </rPr>
      <t>) + P(H</t>
    </r>
    <r>
      <rPr>
        <vertAlign val="subscript"/>
        <sz val="12"/>
        <color theme="1"/>
        <rFont val="Cambria"/>
        <family val="1"/>
      </rPr>
      <t>3</t>
    </r>
    <r>
      <rPr>
        <sz val="12"/>
        <color theme="1"/>
        <rFont val="Cambria"/>
        <family val="1"/>
      </rPr>
      <t>|C</t>
    </r>
    <r>
      <rPr>
        <vertAlign val="subscript"/>
        <sz val="12"/>
        <color theme="1"/>
        <rFont val="Cambria"/>
        <family val="1"/>
      </rPr>
      <t>3</t>
    </r>
    <r>
      <rPr>
        <sz val="12"/>
        <color theme="1"/>
        <rFont val="Cambria"/>
        <family val="1"/>
      </rPr>
      <t>)*P(C</t>
    </r>
    <r>
      <rPr>
        <vertAlign val="subscript"/>
        <sz val="12"/>
        <color theme="1"/>
        <rFont val="Cambria"/>
        <family val="1"/>
      </rPr>
      <t>3</t>
    </r>
    <r>
      <rPr>
        <sz val="12"/>
        <color theme="1"/>
        <rFont val="Cambria"/>
        <family val="1"/>
      </rPr>
      <t xml:space="preserve">) = (1/2)(1/3) + (1)(1/3) + (0)(1/3) = 1/6 + 1/3 + 0 = </t>
    </r>
    <r>
      <rPr>
        <b/>
        <sz val="12"/>
        <color theme="1"/>
        <rFont val="Cambria"/>
        <family val="1"/>
      </rPr>
      <t>1/2</t>
    </r>
  </si>
  <si>
    <t>The key insight is that the host is not acting randomly, he forced to avoid both your chosen door and the car door. This constraint is what makes each case different.</t>
  </si>
  <si>
    <r>
      <rPr>
        <b/>
        <sz val="12"/>
        <color theme="1"/>
        <rFont val="Cambria"/>
        <family val="1"/>
      </rPr>
      <t>P(H</t>
    </r>
    <r>
      <rPr>
        <b/>
        <vertAlign val="subscript"/>
        <sz val="12"/>
        <color theme="1"/>
        <rFont val="Cambria"/>
        <family val="1"/>
      </rPr>
      <t>3</t>
    </r>
    <r>
      <rPr>
        <b/>
        <sz val="12"/>
        <color theme="1"/>
        <rFont val="Cambria"/>
        <family val="1"/>
      </rPr>
      <t>)</t>
    </r>
    <r>
      <rPr>
        <sz val="12"/>
        <color theme="1"/>
        <rFont val="Cambria"/>
        <family val="1"/>
      </rPr>
      <t xml:space="preserve"> is the total probability that the Host opens Door 3, calculated using Law of Total Probability across all three possible car locations: </t>
    </r>
  </si>
  <si>
    <r>
      <rPr>
        <b/>
        <sz val="12"/>
        <color theme="1"/>
        <rFont val="Cambria"/>
        <family val="1"/>
      </rPr>
      <t>P(C</t>
    </r>
    <r>
      <rPr>
        <b/>
        <vertAlign val="subscript"/>
        <sz val="12"/>
        <color theme="1"/>
        <rFont val="Cambria"/>
        <family val="1"/>
      </rPr>
      <t>x</t>
    </r>
    <r>
      <rPr>
        <b/>
        <sz val="12"/>
        <color theme="1"/>
        <rFont val="Cambria"/>
        <family val="1"/>
      </rPr>
      <t>|H</t>
    </r>
    <r>
      <rPr>
        <b/>
        <vertAlign val="subscript"/>
        <sz val="12"/>
        <color theme="1"/>
        <rFont val="Cambria"/>
        <family val="1"/>
      </rPr>
      <t>y</t>
    </r>
    <r>
      <rPr>
        <b/>
        <sz val="12"/>
        <color theme="1"/>
        <rFont val="Cambria"/>
        <family val="1"/>
      </rPr>
      <t>)</t>
    </r>
    <r>
      <rPr>
        <sz val="12"/>
        <color theme="1"/>
        <rFont val="Cambria"/>
        <family val="1"/>
      </rPr>
      <t xml:space="preserve"> is the conditional probability that the Car is behind the Door x, given that the Host has open Door 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</si>
</sst>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mbria"/>
      <family val="1"/>
    </font>
    <font>
      <b/>
      <sz val="12"/>
      <color theme="1"/>
      <name val="Cambria"/>
      <family val="1"/>
    </font>
    <font>
      <b/>
      <vertAlign val="subscript"/>
      <sz val="12"/>
      <color theme="1"/>
      <name val="Cambria"/>
      <family val="1"/>
    </font>
    <font>
      <vertAlign val="subscript"/>
      <sz val="12"/>
      <color theme="1"/>
      <name val="Cambria"/>
      <family val="1"/>
    </font>
    <font>
      <sz val="12"/>
      <color theme="1"/>
      <name val="Calibri"/>
      <family val="2"/>
      <scheme val="minor"/>
    </font>
    <font>
      <b/>
      <sz val="12"/>
      <color rgb="FF1F1F1F"/>
      <name val="Cambria"/>
      <family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right/>
      <top style="medium">
        <color indexed="64"/>
      </top>
      <bottom/>
      <diagonal/>
    </border>
  </borders>
  <cellStyleXfs count="1">
    <xf numFmtId="0" fontId="0" fillId="0" borderId="0"/>
  </cellStyleXfs>
  <cellXfs count="24">
    <xf numFmtId="0" fontId="0" fillId="0" borderId="0" xfId="0"/>
    <xf numFmtId="0" fontId="0" fillId="0" borderId="0" xfId="0" applyAlignment="1">
      <alignment horizontal="center"/>
    </xf>
    <xf numFmtId="0" fontId="1" fillId="0" borderId="0" xfId="0" applyFont="1"/>
    <xf numFmtId="0" fontId="2" fillId="0" borderId="0" xfId="0" applyFont="1"/>
    <xf numFmtId="0" fontId="1" fillId="0" borderId="0" xfId="0" applyFont="1" applyAlignment="1">
      <alignment vertical="center"/>
    </xf>
    <xf numFmtId="0" fontId="1" fillId="0" borderId="7" xfId="0" applyFont="1" applyBorder="1" applyAlignment="1">
      <alignment horizontal="center"/>
    </xf>
    <xf numFmtId="12" fontId="1" fillId="0" borderId="0" xfId="0" applyNumberFormat="1" applyFont="1"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5" fillId="0" borderId="0" xfId="0" applyFont="1"/>
    <xf numFmtId="0" fontId="5" fillId="0" borderId="0" xfId="0" applyFont="1" applyAlignment="1">
      <alignment horizontal="center"/>
    </xf>
    <xf numFmtId="0" fontId="2" fillId="0" borderId="1" xfId="0" applyFont="1" applyBorder="1" applyAlignment="1">
      <alignment horizontal="center"/>
    </xf>
    <xf numFmtId="0" fontId="6" fillId="0" borderId="1" xfId="0" applyFont="1" applyBorder="1" applyAlignment="1">
      <alignment horizontal="center" vertical="center" wrapText="1" readingOrder="1"/>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16" fontId="5" fillId="0" borderId="0" xfId="0" applyNumberFormat="1" applyFont="1"/>
    <xf numFmtId="0" fontId="1" fillId="0" borderId="6" xfId="0" applyFont="1" applyBorder="1" applyAlignment="1">
      <alignment horizontal="left"/>
    </xf>
    <xf numFmtId="0" fontId="1" fillId="0" borderId="2" xfId="0" applyFont="1" applyBorder="1" applyAlignment="1">
      <alignment horizontal="left"/>
    </xf>
    <xf numFmtId="0" fontId="1" fillId="0" borderId="0" xfId="0" applyFont="1" applyAlignment="1">
      <alignment vertical="center"/>
    </xf>
    <xf numFmtId="0" fontId="1" fillId="0" borderId="8" xfId="0" applyFont="1" applyBorder="1" applyAlignment="1">
      <alignment horizontal="center"/>
    </xf>
    <xf numFmtId="0" fontId="1" fillId="0" borderId="7" xfId="0" applyFont="1" applyBorder="1" applyAlignment="1">
      <alignment horizontal="center"/>
    </xf>
    <xf numFmtId="0" fontId="1" fillId="0" borderId="0" xfId="0" applyFont="1" applyAlignment="1">
      <alignment horizontal="center" vertical="center"/>
    </xf>
    <xf numFmtId="0" fontId="1" fillId="0" borderId="0" xfId="0" applyFont="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655CD-737B-49CF-9E61-BF5ECC0532A4}">
  <dimension ref="A1:H13"/>
  <sheetViews>
    <sheetView tabSelected="1" workbookViewId="0">
      <selection activeCell="F19" sqref="F19"/>
    </sheetView>
  </sheetViews>
  <sheetFormatPr defaultRowHeight="14.25" x14ac:dyDescent="0.45"/>
  <cols>
    <col min="1" max="5" width="14.46484375" customWidth="1"/>
    <col min="6" max="6" width="13.796875" customWidth="1"/>
  </cols>
  <sheetData>
    <row r="1" spans="1:8" ht="15.75" x14ac:dyDescent="0.5">
      <c r="A1" s="9"/>
      <c r="B1" s="9"/>
      <c r="C1" s="9"/>
      <c r="D1" s="9"/>
      <c r="E1" s="9"/>
      <c r="F1" s="9"/>
      <c r="G1" s="9"/>
      <c r="H1" s="9"/>
    </row>
    <row r="2" spans="1:8" ht="30" x14ac:dyDescent="0.5">
      <c r="A2" s="12" t="s">
        <v>0</v>
      </c>
      <c r="B2" s="12" t="s">
        <v>1</v>
      </c>
      <c r="C2" s="12" t="s">
        <v>2</v>
      </c>
      <c r="D2" s="12" t="s">
        <v>3</v>
      </c>
      <c r="E2" s="12" t="s">
        <v>4</v>
      </c>
      <c r="F2" s="12" t="s">
        <v>5</v>
      </c>
      <c r="G2" s="9"/>
      <c r="H2" s="9"/>
    </row>
    <row r="3" spans="1:8" ht="15.75" x14ac:dyDescent="0.5">
      <c r="A3" s="13" t="s">
        <v>6</v>
      </c>
      <c r="B3" s="13" t="s">
        <v>6</v>
      </c>
      <c r="C3" s="13" t="s">
        <v>7</v>
      </c>
      <c r="D3" s="13">
        <v>1</v>
      </c>
      <c r="E3" s="13" t="str" cm="1">
        <f t="array" ref="E3">IF(INDEX(A3:C3,D3)="Car","Win","Lose")</f>
        <v>Lose</v>
      </c>
      <c r="F3" s="13" t="str" cm="1">
        <f t="array" ref="F3">IF(INDEX(A3:C3,D3)= "Car", "Lose", "Win")</f>
        <v>Win</v>
      </c>
      <c r="G3" s="9"/>
      <c r="H3" s="9"/>
    </row>
    <row r="4" spans="1:8" ht="15.75" x14ac:dyDescent="0.5">
      <c r="A4" s="14" t="s">
        <v>6</v>
      </c>
      <c r="B4" s="14" t="s">
        <v>6</v>
      </c>
      <c r="C4" s="14" t="s">
        <v>7</v>
      </c>
      <c r="D4" s="14">
        <v>2</v>
      </c>
      <c r="E4" s="14" t="str" cm="1">
        <f t="array" ref="E4">IF(INDEX(A4:C4,D4)="Car","Win","Lose")</f>
        <v>Lose</v>
      </c>
      <c r="F4" s="14" t="str" cm="1">
        <f t="array" ref="F4">IF(INDEX(A4:C4,D4)= "Car", "Lose", "Win")</f>
        <v>Win</v>
      </c>
      <c r="G4" s="9"/>
      <c r="H4" s="9"/>
    </row>
    <row r="5" spans="1:8" ht="15.75" x14ac:dyDescent="0.5">
      <c r="A5" s="15" t="s">
        <v>6</v>
      </c>
      <c r="B5" s="15" t="s">
        <v>6</v>
      </c>
      <c r="C5" s="15" t="s">
        <v>7</v>
      </c>
      <c r="D5" s="15">
        <v>3</v>
      </c>
      <c r="E5" s="15" t="str" cm="1">
        <f t="array" ref="E5">IF(INDEX(A5:C5,D5)="Car","Win","Lose")</f>
        <v>Win</v>
      </c>
      <c r="F5" s="15" t="str" cm="1">
        <f t="array" ref="F5">IF(INDEX(A5:C5,D5)= "Car", "Lose", "Win")</f>
        <v>Lose</v>
      </c>
      <c r="G5" s="9"/>
      <c r="H5" s="9"/>
    </row>
    <row r="6" spans="1:8" ht="15.75" x14ac:dyDescent="0.5">
      <c r="A6" s="13" t="s">
        <v>6</v>
      </c>
      <c r="B6" s="13" t="s">
        <v>7</v>
      </c>
      <c r="C6" s="13" t="s">
        <v>8</v>
      </c>
      <c r="D6" s="13">
        <v>1</v>
      </c>
      <c r="E6" s="13" t="str" cm="1">
        <f t="array" ref="E6">IF(INDEX(A6:C6,D6)="Car","Win","Lose")</f>
        <v>Lose</v>
      </c>
      <c r="F6" s="13" t="str" cm="1">
        <f t="array" ref="F6">IF(INDEX(A6:C6,D6)= "Car", "Lose", "Win")</f>
        <v>Win</v>
      </c>
      <c r="G6" s="9"/>
      <c r="H6" s="9"/>
    </row>
    <row r="7" spans="1:8" ht="15.75" x14ac:dyDescent="0.5">
      <c r="A7" s="14" t="s">
        <v>6</v>
      </c>
      <c r="B7" s="14" t="s">
        <v>7</v>
      </c>
      <c r="C7" s="14" t="s">
        <v>8</v>
      </c>
      <c r="D7" s="14">
        <v>2</v>
      </c>
      <c r="E7" s="14" t="str" cm="1">
        <f t="array" ref="E7">IF(INDEX(A7:C7,D7)="Car","Win","Lose")</f>
        <v>Win</v>
      </c>
      <c r="F7" s="14" t="str" cm="1">
        <f t="array" ref="F7">IF(INDEX(A7:C7,D7)= "Car", "Lose", "Win")</f>
        <v>Lose</v>
      </c>
      <c r="G7" s="9"/>
      <c r="H7" s="9"/>
    </row>
    <row r="8" spans="1:8" ht="15.75" x14ac:dyDescent="0.5">
      <c r="A8" s="15" t="s">
        <v>6</v>
      </c>
      <c r="B8" s="15" t="s">
        <v>7</v>
      </c>
      <c r="C8" s="15" t="s">
        <v>8</v>
      </c>
      <c r="D8" s="15">
        <v>3</v>
      </c>
      <c r="E8" s="15" t="str" cm="1">
        <f t="array" ref="E8">IF(INDEX(A8:C8,D8)="Car","Win","Lose")</f>
        <v>Lose</v>
      </c>
      <c r="F8" s="15" t="str" cm="1">
        <f t="array" ref="F8">IF(INDEX(A8:C8,D8)= "Car", "Lose", "Win")</f>
        <v>Win</v>
      </c>
      <c r="G8" s="9"/>
      <c r="H8" s="9"/>
    </row>
    <row r="9" spans="1:8" ht="15.75" x14ac:dyDescent="0.5">
      <c r="A9" s="14" t="s">
        <v>7</v>
      </c>
      <c r="B9" s="14" t="s">
        <v>6</v>
      </c>
      <c r="C9" s="14" t="s">
        <v>8</v>
      </c>
      <c r="D9" s="14">
        <v>1</v>
      </c>
      <c r="E9" s="14" t="str" cm="1">
        <f t="array" ref="E9">IF(INDEX(A9:C9,D9)="Car","Win","Lose")</f>
        <v>Win</v>
      </c>
      <c r="F9" s="14" t="str" cm="1">
        <f t="array" ref="F9">IF(INDEX(A9:C9,D9)= "Car", "Lose", "Win")</f>
        <v>Lose</v>
      </c>
      <c r="G9" s="9"/>
      <c r="H9" s="9"/>
    </row>
    <row r="10" spans="1:8" ht="15.75" x14ac:dyDescent="0.5">
      <c r="A10" s="14" t="s">
        <v>7</v>
      </c>
      <c r="B10" s="14" t="s">
        <v>6</v>
      </c>
      <c r="C10" s="14" t="s">
        <v>8</v>
      </c>
      <c r="D10" s="14">
        <v>2</v>
      </c>
      <c r="E10" s="14" t="str" cm="1">
        <f t="array" ref="E10">IF(INDEX(A10:C10,D10)="Car","Win","Lose")</f>
        <v>Lose</v>
      </c>
      <c r="F10" s="14" t="str" cm="1">
        <f t="array" ref="F10">IF(INDEX(A10:C10,D10)= "Car", "Lose", "Win")</f>
        <v>Win</v>
      </c>
      <c r="G10" s="9"/>
      <c r="H10" s="9"/>
    </row>
    <row r="11" spans="1:8" ht="15.75" x14ac:dyDescent="0.5">
      <c r="A11" s="15" t="s">
        <v>7</v>
      </c>
      <c r="B11" s="15" t="s">
        <v>6</v>
      </c>
      <c r="C11" s="15" t="s">
        <v>8</v>
      </c>
      <c r="D11" s="15">
        <v>3</v>
      </c>
      <c r="E11" s="15" t="str" cm="1">
        <f t="array" ref="E11">IF(INDEX(A11:C11,D11)="Car","Win","Lose")</f>
        <v>Lose</v>
      </c>
      <c r="F11" s="15" t="str" cm="1">
        <f t="array" ref="F11">IF(INDEX(A11:C11,D11)= "Car", "Lose", "Win")</f>
        <v>Win</v>
      </c>
      <c r="G11" s="9"/>
      <c r="H11" s="9"/>
    </row>
    <row r="12" spans="1:8" ht="15.75" x14ac:dyDescent="0.5">
      <c r="A12" s="9"/>
      <c r="B12" s="9"/>
      <c r="C12" s="9"/>
      <c r="D12" s="9"/>
      <c r="E12" s="16"/>
      <c r="F12" s="9"/>
      <c r="G12" s="9"/>
      <c r="H12" s="9"/>
    </row>
    <row r="13" spans="1:8" ht="15.75" x14ac:dyDescent="0.5">
      <c r="A13" s="9"/>
      <c r="B13" s="9"/>
      <c r="C13" s="9"/>
      <c r="D13" s="9"/>
      <c r="E13" s="9"/>
      <c r="F13" s="9"/>
      <c r="G13" s="9"/>
      <c r="H13"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B1BA-B2AA-4168-9CC1-F5BBB0B94C16}">
  <dimension ref="A1:H56"/>
  <sheetViews>
    <sheetView zoomScaleNormal="100" workbookViewId="0">
      <selection activeCell="H3" sqref="H3"/>
    </sheetView>
  </sheetViews>
  <sheetFormatPr defaultRowHeight="14.25" x14ac:dyDescent="0.45"/>
  <cols>
    <col min="1" max="1" width="15.3984375" customWidth="1"/>
    <col min="2" max="6" width="16.33203125" customWidth="1"/>
    <col min="7" max="7" width="20.46484375" customWidth="1"/>
    <col min="8" max="8" width="20.73046875" customWidth="1"/>
  </cols>
  <sheetData>
    <row r="1" spans="1:8" ht="17.350000000000001" customHeight="1" x14ac:dyDescent="0.45">
      <c r="A1" s="11" t="s">
        <v>14</v>
      </c>
      <c r="B1" s="11" t="s">
        <v>9</v>
      </c>
      <c r="C1" s="12" t="s">
        <v>0</v>
      </c>
      <c r="D1" s="12" t="s">
        <v>1</v>
      </c>
      <c r="E1" s="12" t="s">
        <v>2</v>
      </c>
      <c r="F1" s="12" t="s">
        <v>3</v>
      </c>
      <c r="G1" s="12" t="s">
        <v>4</v>
      </c>
      <c r="H1" s="12" t="s">
        <v>5</v>
      </c>
    </row>
    <row r="2" spans="1:8" ht="15.4" x14ac:dyDescent="0.45">
      <c r="A2" s="8">
        <v>1</v>
      </c>
      <c r="B2" s="8">
        <f t="shared" ref="B2:B33" ca="1" si="0">RANDBETWEEN(1,3)</f>
        <v>3</v>
      </c>
      <c r="C2" s="8" t="str">
        <f t="shared" ref="C2:C33" ca="1" si="1">IF(B2=1, "Car", "Goat")</f>
        <v>Goat</v>
      </c>
      <c r="D2" s="8" t="str">
        <f t="shared" ref="D2:D33" ca="1" si="2">IF(B2=2, "Car", "Goat")</f>
        <v>Goat</v>
      </c>
      <c r="E2" s="8" t="str">
        <f t="shared" ref="E2:E33" ca="1" si="3">IF(B2=3, "Car", "Goat")</f>
        <v>Car</v>
      </c>
      <c r="F2" s="8">
        <f t="shared" ref="F2:F33" ca="1" si="4">RANDBETWEEN(1,3)</f>
        <v>2</v>
      </c>
      <c r="G2" s="8" t="str">
        <f t="shared" ref="G2:G33" ca="1" si="5">IF(B2=F2, "Win", "Lose")</f>
        <v>Lose</v>
      </c>
      <c r="H2" s="8" t="str">
        <f t="shared" ref="H2:H33" ca="1" si="6">IF(B2=F2, "Lose", "Win")</f>
        <v>Win</v>
      </c>
    </row>
    <row r="3" spans="1:8" ht="15.4" x14ac:dyDescent="0.45">
      <c r="A3" s="8">
        <v>2</v>
      </c>
      <c r="B3" s="8">
        <f t="shared" ca="1" si="0"/>
        <v>3</v>
      </c>
      <c r="C3" s="8" t="str">
        <f t="shared" ca="1" si="1"/>
        <v>Goat</v>
      </c>
      <c r="D3" s="8" t="str">
        <f t="shared" ca="1" si="2"/>
        <v>Goat</v>
      </c>
      <c r="E3" s="8" t="str">
        <f t="shared" ca="1" si="3"/>
        <v>Car</v>
      </c>
      <c r="F3" s="8">
        <f t="shared" ca="1" si="4"/>
        <v>1</v>
      </c>
      <c r="G3" s="8" t="str">
        <f t="shared" ca="1" si="5"/>
        <v>Lose</v>
      </c>
      <c r="H3" s="8" t="str">
        <f t="shared" ca="1" si="6"/>
        <v>Win</v>
      </c>
    </row>
    <row r="4" spans="1:8" ht="15.4" x14ac:dyDescent="0.45">
      <c r="A4" s="8">
        <v>3</v>
      </c>
      <c r="B4" s="8">
        <f t="shared" ca="1" si="0"/>
        <v>2</v>
      </c>
      <c r="C4" s="8" t="str">
        <f t="shared" ca="1" si="1"/>
        <v>Goat</v>
      </c>
      <c r="D4" s="8" t="str">
        <f t="shared" ca="1" si="2"/>
        <v>Car</v>
      </c>
      <c r="E4" s="8" t="str">
        <f t="shared" ca="1" si="3"/>
        <v>Goat</v>
      </c>
      <c r="F4" s="8">
        <f t="shared" ca="1" si="4"/>
        <v>3</v>
      </c>
      <c r="G4" s="8" t="str">
        <f t="shared" ca="1" si="5"/>
        <v>Lose</v>
      </c>
      <c r="H4" s="8" t="str">
        <f t="shared" ca="1" si="6"/>
        <v>Win</v>
      </c>
    </row>
    <row r="5" spans="1:8" ht="15.4" x14ac:dyDescent="0.45">
      <c r="A5" s="8">
        <v>4</v>
      </c>
      <c r="B5" s="8">
        <f t="shared" ca="1" si="0"/>
        <v>3</v>
      </c>
      <c r="C5" s="8" t="str">
        <f t="shared" ca="1" si="1"/>
        <v>Goat</v>
      </c>
      <c r="D5" s="8" t="str">
        <f t="shared" ca="1" si="2"/>
        <v>Goat</v>
      </c>
      <c r="E5" s="8" t="str">
        <f t="shared" ca="1" si="3"/>
        <v>Car</v>
      </c>
      <c r="F5" s="8">
        <f t="shared" ca="1" si="4"/>
        <v>1</v>
      </c>
      <c r="G5" s="8" t="str">
        <f t="shared" ca="1" si="5"/>
        <v>Lose</v>
      </c>
      <c r="H5" s="8" t="str">
        <f t="shared" ca="1" si="6"/>
        <v>Win</v>
      </c>
    </row>
    <row r="6" spans="1:8" ht="15.4" x14ac:dyDescent="0.45">
      <c r="A6" s="8">
        <v>5</v>
      </c>
      <c r="B6" s="8">
        <f t="shared" ca="1" si="0"/>
        <v>1</v>
      </c>
      <c r="C6" s="8" t="str">
        <f t="shared" ca="1" si="1"/>
        <v>Car</v>
      </c>
      <c r="D6" s="8" t="str">
        <f t="shared" ca="1" si="2"/>
        <v>Goat</v>
      </c>
      <c r="E6" s="8" t="str">
        <f t="shared" ca="1" si="3"/>
        <v>Goat</v>
      </c>
      <c r="F6" s="8">
        <f t="shared" ca="1" si="4"/>
        <v>3</v>
      </c>
      <c r="G6" s="8" t="str">
        <f t="shared" ca="1" si="5"/>
        <v>Lose</v>
      </c>
      <c r="H6" s="8" t="str">
        <f t="shared" ca="1" si="6"/>
        <v>Win</v>
      </c>
    </row>
    <row r="7" spans="1:8" ht="15.4" x14ac:dyDescent="0.45">
      <c r="A7" s="8">
        <v>6</v>
      </c>
      <c r="B7" s="8">
        <f t="shared" ca="1" si="0"/>
        <v>1</v>
      </c>
      <c r="C7" s="8" t="str">
        <f t="shared" ca="1" si="1"/>
        <v>Car</v>
      </c>
      <c r="D7" s="8" t="str">
        <f t="shared" ca="1" si="2"/>
        <v>Goat</v>
      </c>
      <c r="E7" s="8" t="str">
        <f t="shared" ca="1" si="3"/>
        <v>Goat</v>
      </c>
      <c r="F7" s="8">
        <f t="shared" ca="1" si="4"/>
        <v>1</v>
      </c>
      <c r="G7" s="8" t="str">
        <f t="shared" ca="1" si="5"/>
        <v>Win</v>
      </c>
      <c r="H7" s="8" t="str">
        <f t="shared" ca="1" si="6"/>
        <v>Lose</v>
      </c>
    </row>
    <row r="8" spans="1:8" ht="15.4" x14ac:dyDescent="0.45">
      <c r="A8" s="8">
        <v>7</v>
      </c>
      <c r="B8" s="8">
        <f t="shared" ca="1" si="0"/>
        <v>1</v>
      </c>
      <c r="C8" s="8" t="str">
        <f t="shared" ca="1" si="1"/>
        <v>Car</v>
      </c>
      <c r="D8" s="8" t="str">
        <f t="shared" ca="1" si="2"/>
        <v>Goat</v>
      </c>
      <c r="E8" s="8" t="str">
        <f t="shared" ca="1" si="3"/>
        <v>Goat</v>
      </c>
      <c r="F8" s="8">
        <f t="shared" ca="1" si="4"/>
        <v>1</v>
      </c>
      <c r="G8" s="8" t="str">
        <f t="shared" ca="1" si="5"/>
        <v>Win</v>
      </c>
      <c r="H8" s="8" t="str">
        <f t="shared" ca="1" si="6"/>
        <v>Lose</v>
      </c>
    </row>
    <row r="9" spans="1:8" ht="15.4" x14ac:dyDescent="0.45">
      <c r="A9" s="8">
        <v>8</v>
      </c>
      <c r="B9" s="8">
        <f t="shared" ca="1" si="0"/>
        <v>2</v>
      </c>
      <c r="C9" s="8" t="str">
        <f t="shared" ca="1" si="1"/>
        <v>Goat</v>
      </c>
      <c r="D9" s="8" t="str">
        <f t="shared" ca="1" si="2"/>
        <v>Car</v>
      </c>
      <c r="E9" s="8" t="str">
        <f t="shared" ca="1" si="3"/>
        <v>Goat</v>
      </c>
      <c r="F9" s="8">
        <f t="shared" ca="1" si="4"/>
        <v>3</v>
      </c>
      <c r="G9" s="8" t="str">
        <f t="shared" ca="1" si="5"/>
        <v>Lose</v>
      </c>
      <c r="H9" s="8" t="str">
        <f t="shared" ca="1" si="6"/>
        <v>Win</v>
      </c>
    </row>
    <row r="10" spans="1:8" ht="15.4" x14ac:dyDescent="0.45">
      <c r="A10" s="8">
        <v>9</v>
      </c>
      <c r="B10" s="8">
        <f t="shared" ca="1" si="0"/>
        <v>3</v>
      </c>
      <c r="C10" s="8" t="str">
        <f t="shared" ca="1" si="1"/>
        <v>Goat</v>
      </c>
      <c r="D10" s="8" t="str">
        <f t="shared" ca="1" si="2"/>
        <v>Goat</v>
      </c>
      <c r="E10" s="8" t="str">
        <f t="shared" ca="1" si="3"/>
        <v>Car</v>
      </c>
      <c r="F10" s="8">
        <f t="shared" ca="1" si="4"/>
        <v>1</v>
      </c>
      <c r="G10" s="8" t="str">
        <f t="shared" ca="1" si="5"/>
        <v>Lose</v>
      </c>
      <c r="H10" s="8" t="str">
        <f t="shared" ca="1" si="6"/>
        <v>Win</v>
      </c>
    </row>
    <row r="11" spans="1:8" ht="15.4" x14ac:dyDescent="0.45">
      <c r="A11" s="8">
        <v>10</v>
      </c>
      <c r="B11" s="8">
        <f t="shared" ca="1" si="0"/>
        <v>2</v>
      </c>
      <c r="C11" s="8" t="str">
        <f t="shared" ca="1" si="1"/>
        <v>Goat</v>
      </c>
      <c r="D11" s="8" t="str">
        <f t="shared" ca="1" si="2"/>
        <v>Car</v>
      </c>
      <c r="E11" s="8" t="str">
        <f t="shared" ca="1" si="3"/>
        <v>Goat</v>
      </c>
      <c r="F11" s="8">
        <f t="shared" ca="1" si="4"/>
        <v>3</v>
      </c>
      <c r="G11" s="8" t="str">
        <f t="shared" ca="1" si="5"/>
        <v>Lose</v>
      </c>
      <c r="H11" s="8" t="str">
        <f t="shared" ca="1" si="6"/>
        <v>Win</v>
      </c>
    </row>
    <row r="12" spans="1:8" ht="15.4" x14ac:dyDescent="0.45">
      <c r="A12" s="8">
        <v>11</v>
      </c>
      <c r="B12" s="8">
        <f t="shared" ca="1" si="0"/>
        <v>1</v>
      </c>
      <c r="C12" s="8" t="str">
        <f t="shared" ca="1" si="1"/>
        <v>Car</v>
      </c>
      <c r="D12" s="8" t="str">
        <f t="shared" ca="1" si="2"/>
        <v>Goat</v>
      </c>
      <c r="E12" s="8" t="str">
        <f t="shared" ca="1" si="3"/>
        <v>Goat</v>
      </c>
      <c r="F12" s="8">
        <f t="shared" ca="1" si="4"/>
        <v>2</v>
      </c>
      <c r="G12" s="8" t="str">
        <f t="shared" ca="1" si="5"/>
        <v>Lose</v>
      </c>
      <c r="H12" s="8" t="str">
        <f t="shared" ca="1" si="6"/>
        <v>Win</v>
      </c>
    </row>
    <row r="13" spans="1:8" ht="15.4" x14ac:dyDescent="0.45">
      <c r="A13" s="8">
        <v>12</v>
      </c>
      <c r="B13" s="8">
        <f t="shared" ca="1" si="0"/>
        <v>3</v>
      </c>
      <c r="C13" s="8" t="str">
        <f t="shared" ca="1" si="1"/>
        <v>Goat</v>
      </c>
      <c r="D13" s="8" t="str">
        <f t="shared" ca="1" si="2"/>
        <v>Goat</v>
      </c>
      <c r="E13" s="8" t="str">
        <f t="shared" ca="1" si="3"/>
        <v>Car</v>
      </c>
      <c r="F13" s="8">
        <f t="shared" ca="1" si="4"/>
        <v>2</v>
      </c>
      <c r="G13" s="8" t="str">
        <f t="shared" ca="1" si="5"/>
        <v>Lose</v>
      </c>
      <c r="H13" s="8" t="str">
        <f t="shared" ca="1" si="6"/>
        <v>Win</v>
      </c>
    </row>
    <row r="14" spans="1:8" ht="15.4" x14ac:dyDescent="0.45">
      <c r="A14" s="8">
        <v>13</v>
      </c>
      <c r="B14" s="8">
        <f t="shared" ca="1" si="0"/>
        <v>3</v>
      </c>
      <c r="C14" s="8" t="str">
        <f t="shared" ca="1" si="1"/>
        <v>Goat</v>
      </c>
      <c r="D14" s="8" t="str">
        <f t="shared" ca="1" si="2"/>
        <v>Goat</v>
      </c>
      <c r="E14" s="8" t="str">
        <f t="shared" ca="1" si="3"/>
        <v>Car</v>
      </c>
      <c r="F14" s="8">
        <f t="shared" ca="1" si="4"/>
        <v>1</v>
      </c>
      <c r="G14" s="8" t="str">
        <f t="shared" ca="1" si="5"/>
        <v>Lose</v>
      </c>
      <c r="H14" s="8" t="str">
        <f t="shared" ca="1" si="6"/>
        <v>Win</v>
      </c>
    </row>
    <row r="15" spans="1:8" ht="15.4" x14ac:dyDescent="0.45">
      <c r="A15" s="8">
        <v>14</v>
      </c>
      <c r="B15" s="8">
        <f t="shared" ca="1" si="0"/>
        <v>3</v>
      </c>
      <c r="C15" s="8" t="str">
        <f t="shared" ca="1" si="1"/>
        <v>Goat</v>
      </c>
      <c r="D15" s="8" t="str">
        <f t="shared" ca="1" si="2"/>
        <v>Goat</v>
      </c>
      <c r="E15" s="8" t="str">
        <f t="shared" ca="1" si="3"/>
        <v>Car</v>
      </c>
      <c r="F15" s="8">
        <f t="shared" ca="1" si="4"/>
        <v>1</v>
      </c>
      <c r="G15" s="8" t="str">
        <f t="shared" ca="1" si="5"/>
        <v>Lose</v>
      </c>
      <c r="H15" s="8" t="str">
        <f t="shared" ca="1" si="6"/>
        <v>Win</v>
      </c>
    </row>
    <row r="16" spans="1:8" ht="15.4" x14ac:dyDescent="0.45">
      <c r="A16" s="8">
        <v>15</v>
      </c>
      <c r="B16" s="8">
        <f t="shared" ca="1" si="0"/>
        <v>1</v>
      </c>
      <c r="C16" s="8" t="str">
        <f t="shared" ca="1" si="1"/>
        <v>Car</v>
      </c>
      <c r="D16" s="8" t="str">
        <f t="shared" ca="1" si="2"/>
        <v>Goat</v>
      </c>
      <c r="E16" s="8" t="str">
        <f t="shared" ca="1" si="3"/>
        <v>Goat</v>
      </c>
      <c r="F16" s="8">
        <f t="shared" ca="1" si="4"/>
        <v>3</v>
      </c>
      <c r="G16" s="8" t="str">
        <f t="shared" ca="1" si="5"/>
        <v>Lose</v>
      </c>
      <c r="H16" s="8" t="str">
        <f t="shared" ca="1" si="6"/>
        <v>Win</v>
      </c>
    </row>
    <row r="17" spans="1:8" ht="15.4" x14ac:dyDescent="0.45">
      <c r="A17" s="8">
        <v>16</v>
      </c>
      <c r="B17" s="8">
        <f t="shared" ca="1" si="0"/>
        <v>1</v>
      </c>
      <c r="C17" s="8" t="str">
        <f t="shared" ca="1" si="1"/>
        <v>Car</v>
      </c>
      <c r="D17" s="8" t="str">
        <f t="shared" ca="1" si="2"/>
        <v>Goat</v>
      </c>
      <c r="E17" s="8" t="str">
        <f t="shared" ca="1" si="3"/>
        <v>Goat</v>
      </c>
      <c r="F17" s="8">
        <f t="shared" ca="1" si="4"/>
        <v>3</v>
      </c>
      <c r="G17" s="8" t="str">
        <f t="shared" ca="1" si="5"/>
        <v>Lose</v>
      </c>
      <c r="H17" s="8" t="str">
        <f t="shared" ca="1" si="6"/>
        <v>Win</v>
      </c>
    </row>
    <row r="18" spans="1:8" ht="15.4" x14ac:dyDescent="0.45">
      <c r="A18" s="8">
        <v>17</v>
      </c>
      <c r="B18" s="8">
        <f t="shared" ca="1" si="0"/>
        <v>3</v>
      </c>
      <c r="C18" s="8" t="str">
        <f t="shared" ca="1" si="1"/>
        <v>Goat</v>
      </c>
      <c r="D18" s="8" t="str">
        <f t="shared" ca="1" si="2"/>
        <v>Goat</v>
      </c>
      <c r="E18" s="8" t="str">
        <f t="shared" ca="1" si="3"/>
        <v>Car</v>
      </c>
      <c r="F18" s="8">
        <f t="shared" ca="1" si="4"/>
        <v>3</v>
      </c>
      <c r="G18" s="8" t="str">
        <f t="shared" ca="1" si="5"/>
        <v>Win</v>
      </c>
      <c r="H18" s="8" t="str">
        <f t="shared" ca="1" si="6"/>
        <v>Lose</v>
      </c>
    </row>
    <row r="19" spans="1:8" ht="15.4" x14ac:dyDescent="0.45">
      <c r="A19" s="8">
        <v>18</v>
      </c>
      <c r="B19" s="8">
        <f t="shared" ca="1" si="0"/>
        <v>2</v>
      </c>
      <c r="C19" s="8" t="str">
        <f t="shared" ca="1" si="1"/>
        <v>Goat</v>
      </c>
      <c r="D19" s="8" t="str">
        <f t="shared" ca="1" si="2"/>
        <v>Car</v>
      </c>
      <c r="E19" s="8" t="str">
        <f t="shared" ca="1" si="3"/>
        <v>Goat</v>
      </c>
      <c r="F19" s="8">
        <f t="shared" ca="1" si="4"/>
        <v>1</v>
      </c>
      <c r="G19" s="8" t="str">
        <f t="shared" ca="1" si="5"/>
        <v>Lose</v>
      </c>
      <c r="H19" s="8" t="str">
        <f t="shared" ca="1" si="6"/>
        <v>Win</v>
      </c>
    </row>
    <row r="20" spans="1:8" ht="15.4" x14ac:dyDescent="0.45">
      <c r="A20" s="8">
        <v>19</v>
      </c>
      <c r="B20" s="8">
        <f t="shared" ca="1" si="0"/>
        <v>2</v>
      </c>
      <c r="C20" s="8" t="str">
        <f t="shared" ca="1" si="1"/>
        <v>Goat</v>
      </c>
      <c r="D20" s="8" t="str">
        <f t="shared" ca="1" si="2"/>
        <v>Car</v>
      </c>
      <c r="E20" s="8" t="str">
        <f t="shared" ca="1" si="3"/>
        <v>Goat</v>
      </c>
      <c r="F20" s="8">
        <f t="shared" ca="1" si="4"/>
        <v>2</v>
      </c>
      <c r="G20" s="8" t="str">
        <f t="shared" ca="1" si="5"/>
        <v>Win</v>
      </c>
      <c r="H20" s="8" t="str">
        <f t="shared" ca="1" si="6"/>
        <v>Lose</v>
      </c>
    </row>
    <row r="21" spans="1:8" ht="15.4" x14ac:dyDescent="0.45">
      <c r="A21" s="8">
        <v>20</v>
      </c>
      <c r="B21" s="8">
        <f t="shared" ca="1" si="0"/>
        <v>1</v>
      </c>
      <c r="C21" s="8" t="str">
        <f t="shared" ca="1" si="1"/>
        <v>Car</v>
      </c>
      <c r="D21" s="8" t="str">
        <f t="shared" ca="1" si="2"/>
        <v>Goat</v>
      </c>
      <c r="E21" s="8" t="str">
        <f t="shared" ca="1" si="3"/>
        <v>Goat</v>
      </c>
      <c r="F21" s="8">
        <f t="shared" ca="1" si="4"/>
        <v>1</v>
      </c>
      <c r="G21" s="8" t="str">
        <f t="shared" ca="1" si="5"/>
        <v>Win</v>
      </c>
      <c r="H21" s="8" t="str">
        <f t="shared" ca="1" si="6"/>
        <v>Lose</v>
      </c>
    </row>
    <row r="22" spans="1:8" ht="15.4" x14ac:dyDescent="0.45">
      <c r="A22" s="8">
        <v>21</v>
      </c>
      <c r="B22" s="8">
        <f t="shared" ca="1" si="0"/>
        <v>2</v>
      </c>
      <c r="C22" s="8" t="str">
        <f t="shared" ca="1" si="1"/>
        <v>Goat</v>
      </c>
      <c r="D22" s="8" t="str">
        <f t="shared" ca="1" si="2"/>
        <v>Car</v>
      </c>
      <c r="E22" s="8" t="str">
        <f t="shared" ca="1" si="3"/>
        <v>Goat</v>
      </c>
      <c r="F22" s="8">
        <f t="shared" ca="1" si="4"/>
        <v>2</v>
      </c>
      <c r="G22" s="8" t="str">
        <f t="shared" ca="1" si="5"/>
        <v>Win</v>
      </c>
      <c r="H22" s="8" t="str">
        <f t="shared" ca="1" si="6"/>
        <v>Lose</v>
      </c>
    </row>
    <row r="23" spans="1:8" ht="15.4" x14ac:dyDescent="0.45">
      <c r="A23" s="8">
        <v>22</v>
      </c>
      <c r="B23" s="8">
        <f t="shared" ca="1" si="0"/>
        <v>1</v>
      </c>
      <c r="C23" s="8" t="str">
        <f t="shared" ca="1" si="1"/>
        <v>Car</v>
      </c>
      <c r="D23" s="8" t="str">
        <f t="shared" ca="1" si="2"/>
        <v>Goat</v>
      </c>
      <c r="E23" s="8" t="str">
        <f t="shared" ca="1" si="3"/>
        <v>Goat</v>
      </c>
      <c r="F23" s="8">
        <f t="shared" ca="1" si="4"/>
        <v>2</v>
      </c>
      <c r="G23" s="8" t="str">
        <f t="shared" ca="1" si="5"/>
        <v>Lose</v>
      </c>
      <c r="H23" s="8" t="str">
        <f t="shared" ca="1" si="6"/>
        <v>Win</v>
      </c>
    </row>
    <row r="24" spans="1:8" ht="15.4" x14ac:dyDescent="0.45">
      <c r="A24" s="8">
        <v>23</v>
      </c>
      <c r="B24" s="8">
        <f t="shared" ca="1" si="0"/>
        <v>1</v>
      </c>
      <c r="C24" s="8" t="str">
        <f t="shared" ca="1" si="1"/>
        <v>Car</v>
      </c>
      <c r="D24" s="8" t="str">
        <f t="shared" ca="1" si="2"/>
        <v>Goat</v>
      </c>
      <c r="E24" s="8" t="str">
        <f t="shared" ca="1" si="3"/>
        <v>Goat</v>
      </c>
      <c r="F24" s="8">
        <f t="shared" ca="1" si="4"/>
        <v>2</v>
      </c>
      <c r="G24" s="8" t="str">
        <f t="shared" ca="1" si="5"/>
        <v>Lose</v>
      </c>
      <c r="H24" s="8" t="str">
        <f t="shared" ca="1" si="6"/>
        <v>Win</v>
      </c>
    </row>
    <row r="25" spans="1:8" ht="15.4" x14ac:dyDescent="0.45">
      <c r="A25" s="8">
        <v>24</v>
      </c>
      <c r="B25" s="8">
        <f t="shared" ca="1" si="0"/>
        <v>2</v>
      </c>
      <c r="C25" s="8" t="str">
        <f t="shared" ca="1" si="1"/>
        <v>Goat</v>
      </c>
      <c r="D25" s="8" t="str">
        <f t="shared" ca="1" si="2"/>
        <v>Car</v>
      </c>
      <c r="E25" s="8" t="str">
        <f t="shared" ca="1" si="3"/>
        <v>Goat</v>
      </c>
      <c r="F25" s="8">
        <f t="shared" ca="1" si="4"/>
        <v>3</v>
      </c>
      <c r="G25" s="8" t="str">
        <f t="shared" ca="1" si="5"/>
        <v>Lose</v>
      </c>
      <c r="H25" s="8" t="str">
        <f t="shared" ca="1" si="6"/>
        <v>Win</v>
      </c>
    </row>
    <row r="26" spans="1:8" ht="15.4" x14ac:dyDescent="0.45">
      <c r="A26" s="8">
        <v>25</v>
      </c>
      <c r="B26" s="8">
        <f t="shared" ca="1" si="0"/>
        <v>1</v>
      </c>
      <c r="C26" s="8" t="str">
        <f t="shared" ca="1" si="1"/>
        <v>Car</v>
      </c>
      <c r="D26" s="8" t="str">
        <f t="shared" ca="1" si="2"/>
        <v>Goat</v>
      </c>
      <c r="E26" s="8" t="str">
        <f t="shared" ca="1" si="3"/>
        <v>Goat</v>
      </c>
      <c r="F26" s="8">
        <f t="shared" ca="1" si="4"/>
        <v>1</v>
      </c>
      <c r="G26" s="8" t="str">
        <f t="shared" ca="1" si="5"/>
        <v>Win</v>
      </c>
      <c r="H26" s="8" t="str">
        <f t="shared" ca="1" si="6"/>
        <v>Lose</v>
      </c>
    </row>
    <row r="27" spans="1:8" ht="15.4" x14ac:dyDescent="0.45">
      <c r="A27" s="8">
        <v>26</v>
      </c>
      <c r="B27" s="8">
        <f t="shared" ca="1" si="0"/>
        <v>2</v>
      </c>
      <c r="C27" s="8" t="str">
        <f t="shared" ca="1" si="1"/>
        <v>Goat</v>
      </c>
      <c r="D27" s="8" t="str">
        <f t="shared" ca="1" si="2"/>
        <v>Car</v>
      </c>
      <c r="E27" s="8" t="str">
        <f t="shared" ca="1" si="3"/>
        <v>Goat</v>
      </c>
      <c r="F27" s="8">
        <f t="shared" ca="1" si="4"/>
        <v>3</v>
      </c>
      <c r="G27" s="8" t="str">
        <f t="shared" ca="1" si="5"/>
        <v>Lose</v>
      </c>
      <c r="H27" s="8" t="str">
        <f t="shared" ca="1" si="6"/>
        <v>Win</v>
      </c>
    </row>
    <row r="28" spans="1:8" ht="15.4" x14ac:dyDescent="0.45">
      <c r="A28" s="8">
        <v>27</v>
      </c>
      <c r="B28" s="8">
        <f t="shared" ca="1" si="0"/>
        <v>2</v>
      </c>
      <c r="C28" s="8" t="str">
        <f t="shared" ca="1" si="1"/>
        <v>Goat</v>
      </c>
      <c r="D28" s="8" t="str">
        <f t="shared" ca="1" si="2"/>
        <v>Car</v>
      </c>
      <c r="E28" s="8" t="str">
        <f t="shared" ca="1" si="3"/>
        <v>Goat</v>
      </c>
      <c r="F28" s="8">
        <f t="shared" ca="1" si="4"/>
        <v>2</v>
      </c>
      <c r="G28" s="8" t="str">
        <f t="shared" ca="1" si="5"/>
        <v>Win</v>
      </c>
      <c r="H28" s="8" t="str">
        <f t="shared" ca="1" si="6"/>
        <v>Lose</v>
      </c>
    </row>
    <row r="29" spans="1:8" ht="15.4" x14ac:dyDescent="0.45">
      <c r="A29" s="8">
        <v>28</v>
      </c>
      <c r="B29" s="8">
        <f t="shared" ca="1" si="0"/>
        <v>3</v>
      </c>
      <c r="C29" s="8" t="str">
        <f t="shared" ca="1" si="1"/>
        <v>Goat</v>
      </c>
      <c r="D29" s="8" t="str">
        <f t="shared" ca="1" si="2"/>
        <v>Goat</v>
      </c>
      <c r="E29" s="8" t="str">
        <f t="shared" ca="1" si="3"/>
        <v>Car</v>
      </c>
      <c r="F29" s="8">
        <f t="shared" ca="1" si="4"/>
        <v>1</v>
      </c>
      <c r="G29" s="8" t="str">
        <f t="shared" ca="1" si="5"/>
        <v>Lose</v>
      </c>
      <c r="H29" s="8" t="str">
        <f t="shared" ca="1" si="6"/>
        <v>Win</v>
      </c>
    </row>
    <row r="30" spans="1:8" ht="15.4" x14ac:dyDescent="0.45">
      <c r="A30" s="8">
        <v>29</v>
      </c>
      <c r="B30" s="8">
        <f t="shared" ca="1" si="0"/>
        <v>2</v>
      </c>
      <c r="C30" s="8" t="str">
        <f t="shared" ca="1" si="1"/>
        <v>Goat</v>
      </c>
      <c r="D30" s="8" t="str">
        <f t="shared" ca="1" si="2"/>
        <v>Car</v>
      </c>
      <c r="E30" s="8" t="str">
        <f t="shared" ca="1" si="3"/>
        <v>Goat</v>
      </c>
      <c r="F30" s="8">
        <f t="shared" ca="1" si="4"/>
        <v>1</v>
      </c>
      <c r="G30" s="8" t="str">
        <f t="shared" ca="1" si="5"/>
        <v>Lose</v>
      </c>
      <c r="H30" s="8" t="str">
        <f t="shared" ca="1" si="6"/>
        <v>Win</v>
      </c>
    </row>
    <row r="31" spans="1:8" ht="15.4" x14ac:dyDescent="0.45">
      <c r="A31" s="8">
        <v>30</v>
      </c>
      <c r="B31" s="8">
        <f t="shared" ca="1" si="0"/>
        <v>1</v>
      </c>
      <c r="C31" s="8" t="str">
        <f t="shared" ca="1" si="1"/>
        <v>Car</v>
      </c>
      <c r="D31" s="8" t="str">
        <f t="shared" ca="1" si="2"/>
        <v>Goat</v>
      </c>
      <c r="E31" s="8" t="str">
        <f t="shared" ca="1" si="3"/>
        <v>Goat</v>
      </c>
      <c r="F31" s="8">
        <f t="shared" ca="1" si="4"/>
        <v>1</v>
      </c>
      <c r="G31" s="8" t="str">
        <f t="shared" ca="1" si="5"/>
        <v>Win</v>
      </c>
      <c r="H31" s="8" t="str">
        <f t="shared" ca="1" si="6"/>
        <v>Lose</v>
      </c>
    </row>
    <row r="32" spans="1:8" ht="15.4" x14ac:dyDescent="0.45">
      <c r="A32" s="8">
        <v>31</v>
      </c>
      <c r="B32" s="8">
        <f t="shared" ca="1" si="0"/>
        <v>2</v>
      </c>
      <c r="C32" s="8" t="str">
        <f t="shared" ca="1" si="1"/>
        <v>Goat</v>
      </c>
      <c r="D32" s="8" t="str">
        <f t="shared" ca="1" si="2"/>
        <v>Car</v>
      </c>
      <c r="E32" s="8" t="str">
        <f t="shared" ca="1" si="3"/>
        <v>Goat</v>
      </c>
      <c r="F32" s="8">
        <f t="shared" ca="1" si="4"/>
        <v>3</v>
      </c>
      <c r="G32" s="8" t="str">
        <f t="shared" ca="1" si="5"/>
        <v>Lose</v>
      </c>
      <c r="H32" s="8" t="str">
        <f t="shared" ca="1" si="6"/>
        <v>Win</v>
      </c>
    </row>
    <row r="33" spans="1:8" ht="15.4" x14ac:dyDescent="0.45">
      <c r="A33" s="8">
        <v>32</v>
      </c>
      <c r="B33" s="8">
        <f t="shared" ca="1" si="0"/>
        <v>1</v>
      </c>
      <c r="C33" s="8" t="str">
        <f t="shared" ca="1" si="1"/>
        <v>Car</v>
      </c>
      <c r="D33" s="8" t="str">
        <f t="shared" ca="1" si="2"/>
        <v>Goat</v>
      </c>
      <c r="E33" s="8" t="str">
        <f t="shared" ca="1" si="3"/>
        <v>Goat</v>
      </c>
      <c r="F33" s="8">
        <f t="shared" ca="1" si="4"/>
        <v>3</v>
      </c>
      <c r="G33" s="8" t="str">
        <f t="shared" ca="1" si="5"/>
        <v>Lose</v>
      </c>
      <c r="H33" s="8" t="str">
        <f t="shared" ca="1" si="6"/>
        <v>Win</v>
      </c>
    </row>
    <row r="34" spans="1:8" ht="15.4" x14ac:dyDescent="0.45">
      <c r="A34" s="8">
        <v>33</v>
      </c>
      <c r="B34" s="8">
        <f t="shared" ref="B34:B51" ca="1" si="7">RANDBETWEEN(1,3)</f>
        <v>2</v>
      </c>
      <c r="C34" s="8" t="str">
        <f t="shared" ref="C34:C51" ca="1" si="8">IF(B34=1, "Car", "Goat")</f>
        <v>Goat</v>
      </c>
      <c r="D34" s="8" t="str">
        <f t="shared" ref="D34:D51" ca="1" si="9">IF(B34=2, "Car", "Goat")</f>
        <v>Car</v>
      </c>
      <c r="E34" s="8" t="str">
        <f t="shared" ref="E34:E51" ca="1" si="10">IF(B34=3, "Car", "Goat")</f>
        <v>Goat</v>
      </c>
      <c r="F34" s="8">
        <f t="shared" ref="F34:F51" ca="1" si="11">RANDBETWEEN(1,3)</f>
        <v>2</v>
      </c>
      <c r="G34" s="8" t="str">
        <f t="shared" ref="G34:G51" ca="1" si="12">IF(B34=F34, "Win", "Lose")</f>
        <v>Win</v>
      </c>
      <c r="H34" s="8" t="str">
        <f t="shared" ref="H34:H51" ca="1" si="13">IF(B34=F34, "Lose", "Win")</f>
        <v>Lose</v>
      </c>
    </row>
    <row r="35" spans="1:8" ht="15.4" x14ac:dyDescent="0.45">
      <c r="A35" s="8">
        <v>34</v>
      </c>
      <c r="B35" s="8">
        <f t="shared" ca="1" si="7"/>
        <v>1</v>
      </c>
      <c r="C35" s="8" t="str">
        <f t="shared" ca="1" si="8"/>
        <v>Car</v>
      </c>
      <c r="D35" s="8" t="str">
        <f t="shared" ca="1" si="9"/>
        <v>Goat</v>
      </c>
      <c r="E35" s="8" t="str">
        <f t="shared" ca="1" si="10"/>
        <v>Goat</v>
      </c>
      <c r="F35" s="8">
        <f t="shared" ca="1" si="11"/>
        <v>1</v>
      </c>
      <c r="G35" s="8" t="str">
        <f t="shared" ca="1" si="12"/>
        <v>Win</v>
      </c>
      <c r="H35" s="8" t="str">
        <f t="shared" ca="1" si="13"/>
        <v>Lose</v>
      </c>
    </row>
    <row r="36" spans="1:8" ht="15.4" x14ac:dyDescent="0.45">
      <c r="A36" s="8">
        <v>35</v>
      </c>
      <c r="B36" s="8">
        <f t="shared" ca="1" si="7"/>
        <v>2</v>
      </c>
      <c r="C36" s="8" t="str">
        <f t="shared" ca="1" si="8"/>
        <v>Goat</v>
      </c>
      <c r="D36" s="8" t="str">
        <f t="shared" ca="1" si="9"/>
        <v>Car</v>
      </c>
      <c r="E36" s="8" t="str">
        <f t="shared" ca="1" si="10"/>
        <v>Goat</v>
      </c>
      <c r="F36" s="8">
        <f t="shared" ca="1" si="11"/>
        <v>2</v>
      </c>
      <c r="G36" s="8" t="str">
        <f t="shared" ca="1" si="12"/>
        <v>Win</v>
      </c>
      <c r="H36" s="8" t="str">
        <f t="shared" ca="1" si="13"/>
        <v>Lose</v>
      </c>
    </row>
    <row r="37" spans="1:8" ht="15.4" x14ac:dyDescent="0.45">
      <c r="A37" s="8">
        <v>36</v>
      </c>
      <c r="B37" s="8">
        <f t="shared" ca="1" si="7"/>
        <v>1</v>
      </c>
      <c r="C37" s="8" t="str">
        <f t="shared" ca="1" si="8"/>
        <v>Car</v>
      </c>
      <c r="D37" s="8" t="str">
        <f t="shared" ca="1" si="9"/>
        <v>Goat</v>
      </c>
      <c r="E37" s="8" t="str">
        <f t="shared" ca="1" si="10"/>
        <v>Goat</v>
      </c>
      <c r="F37" s="8">
        <f t="shared" ca="1" si="11"/>
        <v>3</v>
      </c>
      <c r="G37" s="8" t="str">
        <f t="shared" ca="1" si="12"/>
        <v>Lose</v>
      </c>
      <c r="H37" s="8" t="str">
        <f t="shared" ca="1" si="13"/>
        <v>Win</v>
      </c>
    </row>
    <row r="38" spans="1:8" ht="15.4" x14ac:dyDescent="0.45">
      <c r="A38" s="8">
        <v>37</v>
      </c>
      <c r="B38" s="8">
        <f t="shared" ca="1" si="7"/>
        <v>3</v>
      </c>
      <c r="C38" s="8" t="str">
        <f t="shared" ca="1" si="8"/>
        <v>Goat</v>
      </c>
      <c r="D38" s="8" t="str">
        <f t="shared" ca="1" si="9"/>
        <v>Goat</v>
      </c>
      <c r="E38" s="8" t="str">
        <f t="shared" ca="1" si="10"/>
        <v>Car</v>
      </c>
      <c r="F38" s="8">
        <f t="shared" ca="1" si="11"/>
        <v>3</v>
      </c>
      <c r="G38" s="8" t="str">
        <f t="shared" ca="1" si="12"/>
        <v>Win</v>
      </c>
      <c r="H38" s="8" t="str">
        <f t="shared" ca="1" si="13"/>
        <v>Lose</v>
      </c>
    </row>
    <row r="39" spans="1:8" ht="15.4" x14ac:dyDescent="0.45">
      <c r="A39" s="8">
        <v>38</v>
      </c>
      <c r="B39" s="8">
        <f t="shared" ca="1" si="7"/>
        <v>1</v>
      </c>
      <c r="C39" s="8" t="str">
        <f t="shared" ca="1" si="8"/>
        <v>Car</v>
      </c>
      <c r="D39" s="8" t="str">
        <f t="shared" ca="1" si="9"/>
        <v>Goat</v>
      </c>
      <c r="E39" s="8" t="str">
        <f t="shared" ca="1" si="10"/>
        <v>Goat</v>
      </c>
      <c r="F39" s="8">
        <f t="shared" ca="1" si="11"/>
        <v>1</v>
      </c>
      <c r="G39" s="8" t="str">
        <f t="shared" ca="1" si="12"/>
        <v>Win</v>
      </c>
      <c r="H39" s="8" t="str">
        <f t="shared" ca="1" si="13"/>
        <v>Lose</v>
      </c>
    </row>
    <row r="40" spans="1:8" ht="15.4" x14ac:dyDescent="0.45">
      <c r="A40" s="8">
        <v>39</v>
      </c>
      <c r="B40" s="8">
        <f t="shared" ca="1" si="7"/>
        <v>2</v>
      </c>
      <c r="C40" s="8" t="str">
        <f t="shared" ca="1" si="8"/>
        <v>Goat</v>
      </c>
      <c r="D40" s="8" t="str">
        <f t="shared" ca="1" si="9"/>
        <v>Car</v>
      </c>
      <c r="E40" s="8" t="str">
        <f t="shared" ca="1" si="10"/>
        <v>Goat</v>
      </c>
      <c r="F40" s="8">
        <f t="shared" ca="1" si="11"/>
        <v>2</v>
      </c>
      <c r="G40" s="8" t="str">
        <f t="shared" ca="1" si="12"/>
        <v>Win</v>
      </c>
      <c r="H40" s="8" t="str">
        <f t="shared" ca="1" si="13"/>
        <v>Lose</v>
      </c>
    </row>
    <row r="41" spans="1:8" ht="15.4" x14ac:dyDescent="0.45">
      <c r="A41" s="8">
        <v>40</v>
      </c>
      <c r="B41" s="8">
        <f t="shared" ca="1" si="7"/>
        <v>2</v>
      </c>
      <c r="C41" s="8" t="str">
        <f t="shared" ca="1" si="8"/>
        <v>Goat</v>
      </c>
      <c r="D41" s="8" t="str">
        <f t="shared" ca="1" si="9"/>
        <v>Car</v>
      </c>
      <c r="E41" s="8" t="str">
        <f t="shared" ca="1" si="10"/>
        <v>Goat</v>
      </c>
      <c r="F41" s="8">
        <f t="shared" ca="1" si="11"/>
        <v>3</v>
      </c>
      <c r="G41" s="8" t="str">
        <f t="shared" ca="1" si="12"/>
        <v>Lose</v>
      </c>
      <c r="H41" s="8" t="str">
        <f t="shared" ca="1" si="13"/>
        <v>Win</v>
      </c>
    </row>
    <row r="42" spans="1:8" ht="15.4" x14ac:dyDescent="0.45">
      <c r="A42" s="8">
        <v>41</v>
      </c>
      <c r="B42" s="8">
        <f t="shared" ca="1" si="7"/>
        <v>3</v>
      </c>
      <c r="C42" s="8" t="str">
        <f t="shared" ca="1" si="8"/>
        <v>Goat</v>
      </c>
      <c r="D42" s="8" t="str">
        <f t="shared" ca="1" si="9"/>
        <v>Goat</v>
      </c>
      <c r="E42" s="8" t="str">
        <f t="shared" ca="1" si="10"/>
        <v>Car</v>
      </c>
      <c r="F42" s="8">
        <f t="shared" ca="1" si="11"/>
        <v>3</v>
      </c>
      <c r="G42" s="8" t="str">
        <f t="shared" ca="1" si="12"/>
        <v>Win</v>
      </c>
      <c r="H42" s="8" t="str">
        <f t="shared" ca="1" si="13"/>
        <v>Lose</v>
      </c>
    </row>
    <row r="43" spans="1:8" ht="15.4" x14ac:dyDescent="0.45">
      <c r="A43" s="8">
        <v>42</v>
      </c>
      <c r="B43" s="8">
        <f t="shared" ca="1" si="7"/>
        <v>3</v>
      </c>
      <c r="C43" s="8" t="str">
        <f t="shared" ca="1" si="8"/>
        <v>Goat</v>
      </c>
      <c r="D43" s="8" t="str">
        <f t="shared" ca="1" si="9"/>
        <v>Goat</v>
      </c>
      <c r="E43" s="8" t="str">
        <f t="shared" ca="1" si="10"/>
        <v>Car</v>
      </c>
      <c r="F43" s="8">
        <f t="shared" ca="1" si="11"/>
        <v>2</v>
      </c>
      <c r="G43" s="8" t="str">
        <f t="shared" ca="1" si="12"/>
        <v>Lose</v>
      </c>
      <c r="H43" s="8" t="str">
        <f t="shared" ca="1" si="13"/>
        <v>Win</v>
      </c>
    </row>
    <row r="44" spans="1:8" ht="15.4" x14ac:dyDescent="0.45">
      <c r="A44" s="8">
        <v>43</v>
      </c>
      <c r="B44" s="8">
        <f t="shared" ca="1" si="7"/>
        <v>3</v>
      </c>
      <c r="C44" s="8" t="str">
        <f t="shared" ca="1" si="8"/>
        <v>Goat</v>
      </c>
      <c r="D44" s="8" t="str">
        <f t="shared" ca="1" si="9"/>
        <v>Goat</v>
      </c>
      <c r="E44" s="8" t="str">
        <f t="shared" ca="1" si="10"/>
        <v>Car</v>
      </c>
      <c r="F44" s="8">
        <f t="shared" ca="1" si="11"/>
        <v>2</v>
      </c>
      <c r="G44" s="8" t="str">
        <f t="shared" ca="1" si="12"/>
        <v>Lose</v>
      </c>
      <c r="H44" s="8" t="str">
        <f t="shared" ca="1" si="13"/>
        <v>Win</v>
      </c>
    </row>
    <row r="45" spans="1:8" ht="15.4" x14ac:dyDescent="0.45">
      <c r="A45" s="8">
        <v>44</v>
      </c>
      <c r="B45" s="8">
        <f t="shared" ca="1" si="7"/>
        <v>2</v>
      </c>
      <c r="C45" s="8" t="str">
        <f t="shared" ca="1" si="8"/>
        <v>Goat</v>
      </c>
      <c r="D45" s="8" t="str">
        <f t="shared" ca="1" si="9"/>
        <v>Car</v>
      </c>
      <c r="E45" s="8" t="str">
        <f t="shared" ca="1" si="10"/>
        <v>Goat</v>
      </c>
      <c r="F45" s="8">
        <f t="shared" ca="1" si="11"/>
        <v>2</v>
      </c>
      <c r="G45" s="8" t="str">
        <f t="shared" ca="1" si="12"/>
        <v>Win</v>
      </c>
      <c r="H45" s="8" t="str">
        <f t="shared" ca="1" si="13"/>
        <v>Lose</v>
      </c>
    </row>
    <row r="46" spans="1:8" ht="15.4" x14ac:dyDescent="0.45">
      <c r="A46" s="8">
        <v>45</v>
      </c>
      <c r="B46" s="8">
        <f t="shared" ca="1" si="7"/>
        <v>2</v>
      </c>
      <c r="C46" s="8" t="str">
        <f t="shared" ca="1" si="8"/>
        <v>Goat</v>
      </c>
      <c r="D46" s="8" t="str">
        <f t="shared" ca="1" si="9"/>
        <v>Car</v>
      </c>
      <c r="E46" s="8" t="str">
        <f t="shared" ca="1" si="10"/>
        <v>Goat</v>
      </c>
      <c r="F46" s="8">
        <f t="shared" ca="1" si="11"/>
        <v>3</v>
      </c>
      <c r="G46" s="8" t="str">
        <f t="shared" ca="1" si="12"/>
        <v>Lose</v>
      </c>
      <c r="H46" s="8" t="str">
        <f t="shared" ca="1" si="13"/>
        <v>Win</v>
      </c>
    </row>
    <row r="47" spans="1:8" ht="15.4" x14ac:dyDescent="0.45">
      <c r="A47" s="8">
        <v>46</v>
      </c>
      <c r="B47" s="8">
        <f t="shared" ca="1" si="7"/>
        <v>2</v>
      </c>
      <c r="C47" s="8" t="str">
        <f t="shared" ca="1" si="8"/>
        <v>Goat</v>
      </c>
      <c r="D47" s="8" t="str">
        <f t="shared" ca="1" si="9"/>
        <v>Car</v>
      </c>
      <c r="E47" s="8" t="str">
        <f t="shared" ca="1" si="10"/>
        <v>Goat</v>
      </c>
      <c r="F47" s="8">
        <f t="shared" ca="1" si="11"/>
        <v>2</v>
      </c>
      <c r="G47" s="8" t="str">
        <f t="shared" ca="1" si="12"/>
        <v>Win</v>
      </c>
      <c r="H47" s="8" t="str">
        <f t="shared" ca="1" si="13"/>
        <v>Lose</v>
      </c>
    </row>
    <row r="48" spans="1:8" ht="15.4" x14ac:dyDescent="0.45">
      <c r="A48" s="8">
        <v>47</v>
      </c>
      <c r="B48" s="8">
        <f t="shared" ca="1" si="7"/>
        <v>2</v>
      </c>
      <c r="C48" s="8" t="str">
        <f t="shared" ca="1" si="8"/>
        <v>Goat</v>
      </c>
      <c r="D48" s="8" t="str">
        <f t="shared" ca="1" si="9"/>
        <v>Car</v>
      </c>
      <c r="E48" s="8" t="str">
        <f t="shared" ca="1" si="10"/>
        <v>Goat</v>
      </c>
      <c r="F48" s="8">
        <f t="shared" ca="1" si="11"/>
        <v>3</v>
      </c>
      <c r="G48" s="8" t="str">
        <f t="shared" ca="1" si="12"/>
        <v>Lose</v>
      </c>
      <c r="H48" s="8" t="str">
        <f t="shared" ca="1" si="13"/>
        <v>Win</v>
      </c>
    </row>
    <row r="49" spans="1:8" ht="15.4" x14ac:dyDescent="0.45">
      <c r="A49" s="8">
        <v>48</v>
      </c>
      <c r="B49" s="8">
        <f t="shared" ca="1" si="7"/>
        <v>1</v>
      </c>
      <c r="C49" s="8" t="str">
        <f t="shared" ca="1" si="8"/>
        <v>Car</v>
      </c>
      <c r="D49" s="8" t="str">
        <f t="shared" ca="1" si="9"/>
        <v>Goat</v>
      </c>
      <c r="E49" s="8" t="str">
        <f t="shared" ca="1" si="10"/>
        <v>Goat</v>
      </c>
      <c r="F49" s="8">
        <f t="shared" ca="1" si="11"/>
        <v>3</v>
      </c>
      <c r="G49" s="8" t="str">
        <f t="shared" ca="1" si="12"/>
        <v>Lose</v>
      </c>
      <c r="H49" s="8" t="str">
        <f t="shared" ca="1" si="13"/>
        <v>Win</v>
      </c>
    </row>
    <row r="50" spans="1:8" ht="15.4" x14ac:dyDescent="0.45">
      <c r="A50" s="8">
        <v>49</v>
      </c>
      <c r="B50" s="8">
        <f t="shared" ca="1" si="7"/>
        <v>2</v>
      </c>
      <c r="C50" s="8" t="str">
        <f t="shared" ca="1" si="8"/>
        <v>Goat</v>
      </c>
      <c r="D50" s="8" t="str">
        <f t="shared" ca="1" si="9"/>
        <v>Car</v>
      </c>
      <c r="E50" s="8" t="str">
        <f t="shared" ca="1" si="10"/>
        <v>Goat</v>
      </c>
      <c r="F50" s="8">
        <f t="shared" ca="1" si="11"/>
        <v>3</v>
      </c>
      <c r="G50" s="8" t="str">
        <f t="shared" ca="1" si="12"/>
        <v>Lose</v>
      </c>
      <c r="H50" s="8" t="str">
        <f t="shared" ca="1" si="13"/>
        <v>Win</v>
      </c>
    </row>
    <row r="51" spans="1:8" ht="15.4" x14ac:dyDescent="0.45">
      <c r="A51" s="8">
        <v>50</v>
      </c>
      <c r="B51" s="8">
        <f t="shared" ca="1" si="7"/>
        <v>3</v>
      </c>
      <c r="C51" s="8" t="str">
        <f t="shared" ca="1" si="8"/>
        <v>Goat</v>
      </c>
      <c r="D51" s="8" t="str">
        <f t="shared" ca="1" si="9"/>
        <v>Goat</v>
      </c>
      <c r="E51" s="8" t="str">
        <f t="shared" ca="1" si="10"/>
        <v>Car</v>
      </c>
      <c r="F51" s="8">
        <f t="shared" ca="1" si="11"/>
        <v>3</v>
      </c>
      <c r="G51" s="8" t="str">
        <f t="shared" ca="1" si="12"/>
        <v>Win</v>
      </c>
      <c r="H51" s="8" t="str">
        <f t="shared" ca="1" si="13"/>
        <v>Lose</v>
      </c>
    </row>
    <row r="52" spans="1:8" ht="15.75" x14ac:dyDescent="0.5">
      <c r="A52" s="9"/>
      <c r="B52" s="9"/>
      <c r="C52" s="9"/>
      <c r="D52" s="9"/>
      <c r="E52" s="9"/>
      <c r="F52" s="9"/>
      <c r="G52" s="9"/>
      <c r="H52" s="9"/>
    </row>
    <row r="53" spans="1:8" ht="23.75" customHeight="1" x14ac:dyDescent="0.5">
      <c r="A53" s="9"/>
      <c r="B53" s="9"/>
      <c r="C53" s="9"/>
      <c r="D53" s="9"/>
      <c r="E53" s="9"/>
      <c r="F53" s="9"/>
      <c r="G53" s="9"/>
      <c r="H53" s="9"/>
    </row>
    <row r="54" spans="1:8" ht="23.75" customHeight="1" x14ac:dyDescent="0.5">
      <c r="A54" s="9"/>
      <c r="B54" s="9"/>
      <c r="C54" s="9"/>
      <c r="D54" s="9"/>
      <c r="E54" s="9"/>
      <c r="F54" s="9"/>
      <c r="G54" s="9"/>
      <c r="H54" s="9"/>
    </row>
    <row r="55" spans="1:8" ht="23.75" customHeight="1" x14ac:dyDescent="0.45"/>
    <row r="56" spans="1:8" ht="23.75" customHeight="1"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9B3EB-F171-47D3-A540-959C640E1955}">
  <dimension ref="A1:O14"/>
  <sheetViews>
    <sheetView workbookViewId="0">
      <selection activeCell="C22" sqref="C22"/>
    </sheetView>
  </sheetViews>
  <sheetFormatPr defaultRowHeight="14.25" x14ac:dyDescent="0.45"/>
  <cols>
    <col min="1" max="1" width="20.3984375" customWidth="1"/>
    <col min="2" max="2" width="15.3984375" customWidth="1"/>
    <col min="3" max="3" width="11" style="1" customWidth="1"/>
  </cols>
  <sheetData>
    <row r="1" spans="1:15" ht="15.75" x14ac:dyDescent="0.5">
      <c r="A1" s="9"/>
      <c r="B1" s="9"/>
      <c r="C1" s="10"/>
      <c r="D1" s="9"/>
      <c r="E1" s="9"/>
      <c r="F1" s="9"/>
      <c r="G1" s="9"/>
      <c r="H1" s="9"/>
      <c r="I1" s="9"/>
      <c r="J1" s="9"/>
      <c r="K1" s="9"/>
      <c r="L1" s="9"/>
      <c r="M1" s="9"/>
      <c r="N1" s="9"/>
      <c r="O1" s="9"/>
    </row>
    <row r="2" spans="1:15" ht="15.75" x14ac:dyDescent="0.5">
      <c r="A2" s="17" t="s">
        <v>10</v>
      </c>
      <c r="B2" s="18"/>
      <c r="C2" s="8">
        <f ca="1">COUNTIF(A.2!G2:G51,"Win")</f>
        <v>19</v>
      </c>
      <c r="D2" s="9"/>
      <c r="E2" s="9"/>
      <c r="F2" s="9"/>
      <c r="G2" s="9"/>
      <c r="H2" s="9"/>
      <c r="I2" s="9"/>
      <c r="J2" s="9"/>
      <c r="K2" s="9"/>
      <c r="L2" s="9"/>
      <c r="M2" s="9"/>
      <c r="N2" s="9"/>
      <c r="O2" s="9"/>
    </row>
    <row r="3" spans="1:15" ht="15.75" x14ac:dyDescent="0.5">
      <c r="A3" s="17" t="s">
        <v>11</v>
      </c>
      <c r="B3" s="18"/>
      <c r="C3" s="8">
        <f ca="1">COUNTIF(A.2!H2:H51,"Win")</f>
        <v>31</v>
      </c>
      <c r="D3" s="9"/>
      <c r="E3" s="9"/>
      <c r="F3" s="9"/>
      <c r="G3" s="9"/>
      <c r="H3" s="9"/>
      <c r="I3" s="9"/>
      <c r="J3" s="9"/>
      <c r="K3" s="9"/>
      <c r="L3" s="9"/>
      <c r="M3" s="9"/>
      <c r="N3" s="9"/>
      <c r="O3" s="9"/>
    </row>
    <row r="4" spans="1:15" ht="15.75" x14ac:dyDescent="0.5">
      <c r="A4" s="17" t="s">
        <v>12</v>
      </c>
      <c r="B4" s="18"/>
      <c r="C4" s="8">
        <f ca="1">COUNTIF(A.2!G2:G51,"Win")/50</f>
        <v>0.38</v>
      </c>
      <c r="D4" s="9"/>
      <c r="E4" s="9"/>
      <c r="F4" s="9"/>
      <c r="G4" s="9"/>
      <c r="H4" s="9"/>
      <c r="I4" s="9"/>
      <c r="J4" s="9"/>
      <c r="K4" s="9"/>
      <c r="L4" s="9"/>
      <c r="M4" s="9"/>
      <c r="N4" s="9"/>
      <c r="O4" s="9"/>
    </row>
    <row r="5" spans="1:15" ht="15.75" x14ac:dyDescent="0.5">
      <c r="A5" s="17" t="s">
        <v>13</v>
      </c>
      <c r="B5" s="18"/>
      <c r="C5" s="8">
        <f ca="1">COUNTIF(A.2!H2:H51,"Win")/50</f>
        <v>0.62</v>
      </c>
      <c r="D5" s="9"/>
      <c r="E5" s="9"/>
      <c r="F5" s="9"/>
      <c r="G5" s="9"/>
      <c r="H5" s="9"/>
      <c r="I5" s="9"/>
      <c r="J5" s="9"/>
      <c r="K5" s="9"/>
      <c r="L5" s="9"/>
      <c r="M5" s="9"/>
      <c r="N5" s="9"/>
      <c r="O5" s="9"/>
    </row>
    <row r="6" spans="1:15" ht="15.75" x14ac:dyDescent="0.5">
      <c r="A6" s="9"/>
      <c r="B6" s="9"/>
      <c r="C6" s="10"/>
      <c r="D6" s="9"/>
      <c r="E6" s="9"/>
      <c r="F6" s="9"/>
      <c r="G6" s="9"/>
      <c r="H6" s="9"/>
      <c r="I6" s="9"/>
      <c r="J6" s="9"/>
      <c r="K6" s="9"/>
      <c r="L6" s="9"/>
      <c r="M6" s="9"/>
      <c r="N6" s="9"/>
      <c r="O6" s="9"/>
    </row>
    <row r="7" spans="1:15" ht="15.75" x14ac:dyDescent="0.5">
      <c r="A7" s="2" t="s">
        <v>18</v>
      </c>
      <c r="B7" s="2"/>
      <c r="C7" s="7"/>
      <c r="D7" s="2"/>
      <c r="E7" s="2"/>
      <c r="F7" s="2"/>
      <c r="G7" s="2"/>
      <c r="H7" s="2"/>
      <c r="I7" s="2"/>
      <c r="J7" s="2"/>
      <c r="K7" s="2"/>
      <c r="L7" s="2"/>
      <c r="M7" s="2"/>
      <c r="N7" s="2"/>
      <c r="O7" s="9"/>
    </row>
    <row r="8" spans="1:15" ht="15.75" x14ac:dyDescent="0.5">
      <c r="A8" s="2" t="s">
        <v>42</v>
      </c>
      <c r="B8" s="2"/>
      <c r="C8" s="7"/>
      <c r="D8" s="2"/>
      <c r="E8" s="2"/>
      <c r="F8" s="2"/>
      <c r="G8" s="2"/>
      <c r="H8" s="2"/>
      <c r="I8" s="2"/>
      <c r="J8" s="2"/>
      <c r="K8" s="2"/>
      <c r="L8" s="2"/>
      <c r="M8" s="2"/>
      <c r="N8" s="2"/>
      <c r="O8" s="9"/>
    </row>
    <row r="9" spans="1:15" ht="15.75" x14ac:dyDescent="0.5">
      <c r="A9" s="2" t="s">
        <v>15</v>
      </c>
      <c r="B9" s="2"/>
      <c r="C9" s="7"/>
      <c r="D9" s="2"/>
      <c r="E9" s="2"/>
      <c r="F9" s="2"/>
      <c r="G9" s="2"/>
      <c r="H9" s="2"/>
      <c r="I9" s="2"/>
      <c r="J9" s="2"/>
      <c r="K9" s="2"/>
      <c r="L9" s="2"/>
      <c r="M9" s="2"/>
      <c r="N9" s="2"/>
      <c r="O9" s="9"/>
    </row>
    <row r="10" spans="1:15" ht="15.75" x14ac:dyDescent="0.5">
      <c r="A10" s="2" t="s">
        <v>19</v>
      </c>
      <c r="B10" s="2"/>
      <c r="C10" s="7"/>
      <c r="D10" s="2"/>
      <c r="E10" s="2"/>
      <c r="F10" s="2"/>
      <c r="G10" s="2"/>
      <c r="H10" s="2"/>
      <c r="I10" s="2"/>
      <c r="J10" s="2"/>
      <c r="K10" s="2"/>
      <c r="L10" s="2"/>
      <c r="M10" s="2"/>
      <c r="N10" s="2"/>
      <c r="O10" s="9"/>
    </row>
    <row r="11" spans="1:15" ht="15.75" x14ac:dyDescent="0.5">
      <c r="A11" s="2" t="s">
        <v>16</v>
      </c>
      <c r="B11" s="2"/>
      <c r="C11" s="7"/>
      <c r="D11" s="2"/>
      <c r="E11" s="2"/>
      <c r="F11" s="2"/>
      <c r="G11" s="2"/>
      <c r="H11" s="2"/>
      <c r="I11" s="2"/>
      <c r="J11" s="2"/>
      <c r="K11" s="2"/>
      <c r="L11" s="2"/>
      <c r="M11" s="2"/>
      <c r="N11" s="2"/>
      <c r="O11" s="9"/>
    </row>
    <row r="12" spans="1:15" ht="15.75" x14ac:dyDescent="0.5">
      <c r="A12" s="2" t="s">
        <v>17</v>
      </c>
      <c r="B12" s="2"/>
      <c r="C12" s="7"/>
      <c r="D12" s="2"/>
      <c r="E12" s="2"/>
      <c r="F12" s="2"/>
      <c r="G12" s="2"/>
      <c r="H12" s="2"/>
      <c r="I12" s="2"/>
      <c r="J12" s="2"/>
      <c r="K12" s="2"/>
      <c r="L12" s="2"/>
      <c r="M12" s="2"/>
      <c r="N12" s="2"/>
      <c r="O12" s="9"/>
    </row>
    <row r="13" spans="1:15" ht="15.75" x14ac:dyDescent="0.5">
      <c r="A13" s="2"/>
      <c r="B13" s="2"/>
      <c r="C13" s="7"/>
      <c r="D13" s="2"/>
      <c r="E13" s="2"/>
      <c r="F13" s="2"/>
      <c r="G13" s="2"/>
      <c r="H13" s="2"/>
      <c r="I13" s="2"/>
      <c r="J13" s="2"/>
      <c r="K13" s="2"/>
      <c r="L13" s="2"/>
      <c r="M13" s="2"/>
      <c r="N13" s="2"/>
      <c r="O13" s="9"/>
    </row>
    <row r="14" spans="1:15" ht="15.75" x14ac:dyDescent="0.5">
      <c r="A14" s="9"/>
      <c r="B14" s="9"/>
      <c r="C14" s="10"/>
      <c r="D14" s="9"/>
      <c r="E14" s="9"/>
      <c r="F14" s="9"/>
      <c r="G14" s="9"/>
      <c r="H14" s="9"/>
      <c r="I14" s="9"/>
      <c r="J14" s="9"/>
      <c r="K14" s="9"/>
      <c r="L14" s="9"/>
      <c r="M14" s="9"/>
      <c r="N14" s="9"/>
      <c r="O14" s="9"/>
    </row>
  </sheetData>
  <mergeCells count="4">
    <mergeCell ref="A2:B2"/>
    <mergeCell ref="A3:B3"/>
    <mergeCell ref="A4:B4"/>
    <mergeCell ref="A5:B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82B13-7108-4900-833D-7CF2C593F094}">
  <dimension ref="A1:W38"/>
  <sheetViews>
    <sheetView topLeftCell="A21" zoomScale="133" zoomScaleNormal="133" workbookViewId="0">
      <selection activeCell="E8" sqref="E8"/>
    </sheetView>
  </sheetViews>
  <sheetFormatPr defaultRowHeight="14.25" x14ac:dyDescent="0.45"/>
  <sheetData>
    <row r="1" spans="1:23" ht="18" x14ac:dyDescent="0.6">
      <c r="A1" s="2" t="s">
        <v>26</v>
      </c>
      <c r="B1" s="2"/>
      <c r="C1" s="2"/>
      <c r="D1" s="2"/>
      <c r="E1" s="2"/>
      <c r="F1" s="2"/>
      <c r="G1" s="2"/>
      <c r="H1" s="2"/>
      <c r="I1" s="2"/>
      <c r="J1" s="2"/>
      <c r="K1" s="2"/>
      <c r="L1" s="2"/>
      <c r="M1" s="2"/>
      <c r="N1" s="2"/>
      <c r="O1" s="2"/>
      <c r="P1" s="2"/>
      <c r="Q1" s="2"/>
      <c r="R1" s="2"/>
      <c r="S1" s="2"/>
      <c r="T1" s="2"/>
      <c r="U1" s="2"/>
      <c r="V1" s="2"/>
      <c r="W1" s="2"/>
    </row>
    <row r="2" spans="1:23" ht="18" x14ac:dyDescent="0.6">
      <c r="A2" s="2" t="s">
        <v>27</v>
      </c>
      <c r="B2" s="2"/>
      <c r="C2" s="2"/>
      <c r="D2" s="2"/>
      <c r="E2" s="2"/>
      <c r="F2" s="2"/>
      <c r="G2" s="2"/>
      <c r="H2" s="2"/>
      <c r="I2" s="2"/>
      <c r="J2" s="2"/>
      <c r="K2" s="2"/>
      <c r="L2" s="2"/>
      <c r="M2" s="2"/>
      <c r="N2" s="2"/>
      <c r="O2" s="2"/>
      <c r="P2" s="2"/>
      <c r="Q2" s="2"/>
      <c r="R2" s="2"/>
      <c r="S2" s="2"/>
      <c r="T2" s="2"/>
      <c r="U2" s="2"/>
      <c r="V2" s="2"/>
      <c r="W2" s="2"/>
    </row>
    <row r="3" spans="1:23" ht="18" x14ac:dyDescent="0.6">
      <c r="A3" s="2" t="s">
        <v>46</v>
      </c>
      <c r="B3" s="2"/>
      <c r="C3" s="2"/>
      <c r="D3" s="2"/>
      <c r="E3" s="2"/>
      <c r="F3" s="2"/>
      <c r="G3" s="2"/>
      <c r="H3" s="2"/>
      <c r="I3" s="2"/>
      <c r="J3" s="2"/>
      <c r="K3" s="2"/>
      <c r="L3" s="2"/>
      <c r="M3" s="2"/>
      <c r="N3" s="2"/>
      <c r="O3" s="2"/>
      <c r="P3" s="2"/>
      <c r="Q3" s="2"/>
      <c r="R3" s="2"/>
      <c r="S3" s="2"/>
      <c r="T3" s="2"/>
      <c r="U3" s="2"/>
      <c r="V3" s="2"/>
      <c r="W3" s="2"/>
    </row>
    <row r="4" spans="1:23" ht="18" x14ac:dyDescent="0.6">
      <c r="A4" s="2" t="s">
        <v>28</v>
      </c>
      <c r="B4" s="2"/>
      <c r="C4" s="2"/>
      <c r="D4" s="2"/>
      <c r="E4" s="2"/>
      <c r="F4" s="2"/>
      <c r="G4" s="2"/>
      <c r="H4" s="2"/>
      <c r="I4" s="2"/>
      <c r="J4" s="2"/>
      <c r="K4" s="2"/>
      <c r="L4" s="2"/>
      <c r="M4" s="2"/>
      <c r="N4" s="2"/>
      <c r="O4" s="2"/>
      <c r="P4" s="2"/>
      <c r="Q4" s="2"/>
      <c r="R4" s="2"/>
      <c r="S4" s="2"/>
      <c r="T4" s="2"/>
      <c r="U4" s="2"/>
      <c r="V4" s="2"/>
      <c r="W4" s="2"/>
    </row>
    <row r="5" spans="1:23" ht="18" x14ac:dyDescent="0.6">
      <c r="A5" s="2" t="s">
        <v>29</v>
      </c>
      <c r="B5" s="2"/>
      <c r="C5" s="2"/>
      <c r="D5" s="2"/>
      <c r="E5" s="2"/>
      <c r="F5" s="2"/>
      <c r="G5" s="2"/>
      <c r="H5" s="2"/>
      <c r="I5" s="2"/>
      <c r="J5" s="2"/>
      <c r="K5" s="2"/>
      <c r="L5" s="2"/>
      <c r="M5" s="2"/>
      <c r="N5" s="2"/>
      <c r="O5" s="2"/>
      <c r="P5" s="2"/>
      <c r="Q5" s="2"/>
      <c r="R5" s="2"/>
      <c r="S5" s="2"/>
      <c r="T5" s="2"/>
      <c r="U5" s="2"/>
      <c r="V5" s="2"/>
      <c r="W5" s="2"/>
    </row>
    <row r="6" spans="1:23" ht="18" x14ac:dyDescent="0.6">
      <c r="A6" s="2" t="s">
        <v>30</v>
      </c>
      <c r="B6" s="2"/>
      <c r="C6" s="2"/>
      <c r="D6" s="2"/>
      <c r="E6" s="2"/>
      <c r="F6" s="2"/>
      <c r="G6" s="2"/>
      <c r="H6" s="2"/>
      <c r="I6" s="2"/>
      <c r="J6" s="2"/>
      <c r="K6" s="2"/>
      <c r="L6" s="2"/>
      <c r="M6" s="2"/>
      <c r="N6" s="2"/>
      <c r="O6" s="2"/>
      <c r="P6" s="2"/>
      <c r="Q6" s="2"/>
      <c r="R6" s="2"/>
      <c r="S6" s="2"/>
      <c r="T6" s="2"/>
      <c r="U6" s="2"/>
      <c r="V6" s="2"/>
      <c r="W6" s="2"/>
    </row>
    <row r="7" spans="1:23" ht="15.4" x14ac:dyDescent="0.45">
      <c r="A7" s="2"/>
      <c r="B7" s="2"/>
      <c r="C7" s="2"/>
      <c r="D7" s="2"/>
      <c r="E7" s="2"/>
      <c r="F7" s="2"/>
      <c r="G7" s="2"/>
      <c r="H7" s="2"/>
      <c r="I7" s="2"/>
      <c r="J7" s="2"/>
      <c r="K7" s="2"/>
      <c r="L7" s="2"/>
      <c r="M7" s="2"/>
      <c r="N7" s="2"/>
      <c r="O7" s="2"/>
      <c r="P7" s="2"/>
      <c r="Q7" s="2"/>
      <c r="R7" s="2"/>
      <c r="S7" s="2"/>
      <c r="T7" s="2"/>
      <c r="U7" s="2"/>
      <c r="V7" s="2"/>
      <c r="W7" s="2"/>
    </row>
    <row r="8" spans="1:23" ht="15.4" x14ac:dyDescent="0.45">
      <c r="A8" s="3" t="s">
        <v>22</v>
      </c>
      <c r="B8" s="2"/>
      <c r="C8" s="2"/>
      <c r="D8" s="2"/>
      <c r="E8" s="2"/>
      <c r="F8" s="2"/>
      <c r="G8" s="2"/>
      <c r="H8" s="2"/>
      <c r="I8" s="2"/>
      <c r="J8" s="2"/>
      <c r="K8" s="2"/>
      <c r="L8" s="2"/>
      <c r="M8" s="2"/>
      <c r="N8" s="2"/>
      <c r="O8" s="2"/>
      <c r="P8" s="2"/>
      <c r="Q8" s="2"/>
      <c r="R8" s="2"/>
      <c r="S8" s="2"/>
      <c r="T8" s="2"/>
      <c r="U8" s="2"/>
      <c r="V8" s="2"/>
      <c r="W8" s="2"/>
    </row>
    <row r="9" spans="1:23" ht="18.399999999999999" thickBot="1" x14ac:dyDescent="0.65">
      <c r="A9" s="2"/>
      <c r="B9" s="2"/>
      <c r="C9" s="2"/>
      <c r="D9" s="2"/>
      <c r="E9" s="19" t="s">
        <v>31</v>
      </c>
      <c r="F9" s="21" t="s">
        <v>32</v>
      </c>
      <c r="G9" s="21"/>
      <c r="H9" s="2"/>
      <c r="I9" s="2"/>
      <c r="J9" s="2"/>
      <c r="K9" s="2"/>
      <c r="L9" s="2"/>
      <c r="M9" s="2"/>
      <c r="N9" s="2"/>
      <c r="O9" s="2"/>
      <c r="P9" s="2"/>
      <c r="Q9" s="2"/>
      <c r="R9" s="2"/>
      <c r="S9" s="2"/>
      <c r="T9" s="2"/>
      <c r="U9" s="2"/>
      <c r="V9" s="2"/>
      <c r="W9" s="2"/>
    </row>
    <row r="10" spans="1:23" ht="18" x14ac:dyDescent="0.6">
      <c r="A10" s="2"/>
      <c r="B10" s="2"/>
      <c r="C10" s="2"/>
      <c r="D10" s="2"/>
      <c r="E10" s="19"/>
      <c r="F10" s="20" t="s">
        <v>33</v>
      </c>
      <c r="G10" s="20"/>
      <c r="H10" s="2"/>
      <c r="I10" s="2"/>
      <c r="J10" s="2"/>
      <c r="K10" s="2"/>
      <c r="L10" s="2"/>
      <c r="M10" s="2"/>
      <c r="N10" s="2"/>
      <c r="O10" s="2"/>
      <c r="P10" s="2"/>
      <c r="Q10" s="2"/>
      <c r="R10" s="2"/>
      <c r="S10" s="2"/>
      <c r="T10" s="2"/>
      <c r="U10" s="2"/>
      <c r="V10" s="2"/>
      <c r="W10" s="2"/>
    </row>
    <row r="11" spans="1:23" ht="15.4" x14ac:dyDescent="0.45">
      <c r="A11" s="2"/>
      <c r="B11" s="2"/>
      <c r="C11" s="2"/>
      <c r="D11" s="2"/>
      <c r="E11" s="2"/>
      <c r="F11" s="2"/>
      <c r="G11" s="2"/>
      <c r="H11" s="2"/>
      <c r="I11" s="2"/>
      <c r="J11" s="2"/>
      <c r="K11" s="2"/>
      <c r="L11" s="2"/>
      <c r="M11" s="2"/>
      <c r="N11" s="2"/>
      <c r="O11" s="2"/>
      <c r="P11" s="2"/>
      <c r="Q11" s="2"/>
      <c r="R11" s="2"/>
      <c r="S11" s="2"/>
      <c r="T11" s="2"/>
      <c r="U11" s="2"/>
      <c r="V11" s="2"/>
      <c r="W11" s="2"/>
    </row>
    <row r="12" spans="1:23" ht="18" x14ac:dyDescent="0.6">
      <c r="A12" s="2" t="s">
        <v>34</v>
      </c>
      <c r="B12" s="2"/>
      <c r="C12" s="2"/>
      <c r="D12" s="2"/>
      <c r="E12" s="2"/>
      <c r="F12" s="2"/>
      <c r="G12" s="2"/>
      <c r="H12" s="2"/>
      <c r="I12" s="2"/>
      <c r="J12" s="2"/>
      <c r="K12" s="2"/>
      <c r="L12" s="2"/>
      <c r="M12" s="2"/>
      <c r="N12" s="2"/>
      <c r="O12" s="2"/>
      <c r="P12" s="2"/>
      <c r="Q12" s="2"/>
      <c r="R12" s="2"/>
      <c r="S12" s="2"/>
      <c r="T12" s="2"/>
      <c r="U12" s="2"/>
      <c r="V12" s="2"/>
      <c r="W12" s="2"/>
    </row>
    <row r="13" spans="1:23" ht="15.4" x14ac:dyDescent="0.45">
      <c r="A13" s="2"/>
      <c r="B13" s="2"/>
      <c r="C13" s="2"/>
      <c r="D13" s="2"/>
      <c r="E13" s="2"/>
      <c r="F13" s="2"/>
      <c r="G13" s="2"/>
      <c r="H13" s="2"/>
      <c r="I13" s="2"/>
      <c r="J13" s="2"/>
      <c r="K13" s="2"/>
      <c r="L13" s="2"/>
      <c r="M13" s="2"/>
      <c r="N13" s="2"/>
      <c r="O13" s="2"/>
      <c r="P13" s="2"/>
      <c r="Q13" s="2"/>
      <c r="R13" s="2"/>
      <c r="S13" s="2"/>
      <c r="T13" s="2"/>
      <c r="U13" s="2"/>
      <c r="V13" s="2"/>
      <c r="W13" s="2"/>
    </row>
    <row r="14" spans="1:23" ht="15.4" x14ac:dyDescent="0.45">
      <c r="A14" s="2"/>
      <c r="B14" s="2"/>
      <c r="C14" s="2"/>
      <c r="D14" s="2"/>
      <c r="E14" s="2"/>
      <c r="F14" s="2"/>
      <c r="G14" s="2"/>
      <c r="H14" s="2"/>
      <c r="I14" s="2"/>
      <c r="J14" s="2"/>
      <c r="K14" s="2"/>
      <c r="L14" s="2"/>
      <c r="M14" s="2"/>
      <c r="N14" s="2"/>
      <c r="O14" s="2"/>
      <c r="P14" s="2"/>
      <c r="Q14" s="2"/>
      <c r="R14" s="2"/>
      <c r="S14" s="2"/>
      <c r="T14" s="2"/>
      <c r="U14" s="2"/>
      <c r="V14" s="2"/>
      <c r="W14" s="2"/>
    </row>
    <row r="15" spans="1:23" ht="15.75" thickBot="1" x14ac:dyDescent="0.5">
      <c r="A15" s="2"/>
      <c r="B15" s="2"/>
      <c r="C15" s="2"/>
      <c r="D15" s="2"/>
      <c r="E15" s="22" t="s">
        <v>35</v>
      </c>
      <c r="F15" s="5" t="s">
        <v>20</v>
      </c>
      <c r="G15" s="2"/>
      <c r="H15" s="2"/>
      <c r="I15" s="2"/>
      <c r="J15" s="2"/>
      <c r="K15" s="2"/>
      <c r="L15" s="2"/>
      <c r="M15" s="2"/>
      <c r="N15" s="2"/>
      <c r="O15" s="2"/>
      <c r="P15" s="2"/>
      <c r="Q15" s="2"/>
      <c r="R15" s="2"/>
      <c r="S15" s="2"/>
      <c r="T15" s="2"/>
      <c r="U15" s="2"/>
      <c r="V15" s="2"/>
      <c r="W15" s="2"/>
    </row>
    <row r="16" spans="1:23" ht="15.4" x14ac:dyDescent="0.45">
      <c r="A16" s="2"/>
      <c r="B16" s="2"/>
      <c r="C16" s="2"/>
      <c r="D16" s="2"/>
      <c r="E16" s="22"/>
      <c r="F16" s="6">
        <v>0.5</v>
      </c>
      <c r="G16" s="2"/>
      <c r="H16" s="2"/>
      <c r="I16" s="2"/>
      <c r="J16" s="2"/>
      <c r="K16" s="2"/>
      <c r="L16" s="2"/>
      <c r="M16" s="2"/>
      <c r="N16" s="2"/>
      <c r="O16" s="2"/>
      <c r="P16" s="2"/>
      <c r="Q16" s="2"/>
      <c r="R16" s="2"/>
      <c r="S16" s="2"/>
      <c r="T16" s="2"/>
      <c r="U16" s="2"/>
      <c r="V16" s="2"/>
      <c r="W16" s="2"/>
    </row>
    <row r="17" spans="1:23" ht="15.75" thickBot="1" x14ac:dyDescent="0.5">
      <c r="A17" s="2"/>
      <c r="B17" s="2"/>
      <c r="C17" s="2"/>
      <c r="D17" s="2"/>
      <c r="E17" s="23" t="s">
        <v>21</v>
      </c>
      <c r="F17" s="5">
        <v>2</v>
      </c>
      <c r="G17" s="2"/>
      <c r="H17" s="2"/>
      <c r="I17" s="2"/>
      <c r="J17" s="2"/>
      <c r="K17" s="2"/>
      <c r="L17" s="2"/>
      <c r="M17" s="2"/>
      <c r="N17" s="2"/>
      <c r="O17" s="2"/>
      <c r="P17" s="2"/>
      <c r="Q17" s="2"/>
      <c r="R17" s="2"/>
      <c r="S17" s="2"/>
      <c r="T17" s="2"/>
      <c r="U17" s="2"/>
      <c r="V17" s="2"/>
      <c r="W17" s="2"/>
    </row>
    <row r="18" spans="1:23" ht="15.4" x14ac:dyDescent="0.45">
      <c r="A18" s="2"/>
      <c r="B18" s="2"/>
      <c r="C18" s="2"/>
      <c r="D18" s="2"/>
      <c r="E18" s="23"/>
      <c r="F18" s="7">
        <v>3</v>
      </c>
      <c r="G18" s="2"/>
      <c r="H18" s="2"/>
      <c r="I18" s="2"/>
      <c r="J18" s="2"/>
      <c r="K18" s="2"/>
      <c r="L18" s="2"/>
      <c r="M18" s="2"/>
      <c r="N18" s="2"/>
      <c r="O18" s="2"/>
      <c r="P18" s="2"/>
      <c r="Q18" s="2"/>
      <c r="R18" s="2"/>
      <c r="S18" s="2"/>
      <c r="T18" s="2"/>
      <c r="U18" s="2"/>
      <c r="V18" s="2"/>
      <c r="W18" s="2"/>
    </row>
    <row r="19" spans="1:23" ht="15.4" x14ac:dyDescent="0.45">
      <c r="A19" s="2"/>
      <c r="B19" s="2"/>
      <c r="C19" s="2"/>
      <c r="D19" s="2"/>
      <c r="E19" s="2"/>
      <c r="F19" s="2"/>
      <c r="G19" s="2"/>
      <c r="H19" s="2"/>
      <c r="I19" s="2"/>
      <c r="J19" s="2"/>
      <c r="K19" s="2"/>
      <c r="L19" s="2"/>
      <c r="M19" s="2"/>
      <c r="N19" s="2"/>
      <c r="O19" s="2"/>
      <c r="P19" s="2"/>
      <c r="Q19" s="2"/>
      <c r="R19" s="2"/>
      <c r="S19" s="2"/>
      <c r="T19" s="2"/>
      <c r="U19" s="2"/>
      <c r="V19" s="2"/>
      <c r="W19" s="2"/>
    </row>
    <row r="20" spans="1:23" ht="15.4" x14ac:dyDescent="0.45">
      <c r="A20" s="3" t="s">
        <v>23</v>
      </c>
      <c r="B20" s="2"/>
      <c r="C20" s="2"/>
      <c r="D20" s="2"/>
      <c r="E20" s="2"/>
      <c r="F20" s="2"/>
      <c r="G20" s="2"/>
      <c r="H20" s="2"/>
      <c r="I20" s="2"/>
      <c r="J20" s="2"/>
      <c r="K20" s="2"/>
      <c r="L20" s="2"/>
      <c r="M20" s="2"/>
      <c r="N20" s="2"/>
      <c r="O20" s="2"/>
      <c r="P20" s="2"/>
      <c r="Q20" s="2"/>
      <c r="R20" s="2"/>
      <c r="S20" s="2"/>
      <c r="T20" s="2"/>
      <c r="U20" s="2"/>
      <c r="V20" s="2"/>
      <c r="W20" s="2"/>
    </row>
    <row r="21" spans="1:23" ht="15.4" x14ac:dyDescent="0.45">
      <c r="A21" s="2"/>
      <c r="B21" s="2"/>
      <c r="C21" s="2"/>
      <c r="D21" s="2"/>
      <c r="E21" s="2"/>
      <c r="F21" s="2"/>
      <c r="G21" s="2"/>
      <c r="H21" s="2"/>
      <c r="I21" s="2"/>
      <c r="J21" s="2"/>
      <c r="K21" s="2"/>
      <c r="L21" s="2"/>
      <c r="M21" s="2"/>
      <c r="N21" s="2"/>
      <c r="O21" s="2"/>
      <c r="P21" s="2"/>
      <c r="Q21" s="2"/>
      <c r="R21" s="2"/>
      <c r="S21" s="2"/>
      <c r="T21" s="2"/>
      <c r="U21" s="2"/>
      <c r="V21" s="2"/>
      <c r="W21" s="2"/>
    </row>
    <row r="22" spans="1:23" ht="18" x14ac:dyDescent="0.6">
      <c r="A22" s="2" t="s">
        <v>38</v>
      </c>
      <c r="B22" s="2"/>
      <c r="C22" s="2"/>
      <c r="D22" s="2"/>
      <c r="E22" s="2"/>
      <c r="F22" s="2"/>
      <c r="G22" s="2"/>
      <c r="H22" s="2"/>
      <c r="I22" s="2"/>
      <c r="J22" s="2"/>
      <c r="K22" s="2"/>
      <c r="L22" s="2"/>
      <c r="M22" s="2"/>
      <c r="N22" s="2"/>
      <c r="O22" s="2"/>
      <c r="P22" s="2"/>
      <c r="Q22" s="2"/>
      <c r="R22" s="2"/>
      <c r="S22" s="2"/>
      <c r="T22" s="2"/>
      <c r="U22" s="2"/>
      <c r="V22" s="2"/>
      <c r="W22" s="2"/>
    </row>
    <row r="23" spans="1:23" ht="18" x14ac:dyDescent="0.6">
      <c r="A23" s="2" t="s">
        <v>39</v>
      </c>
      <c r="B23" s="2"/>
      <c r="C23" s="2"/>
      <c r="D23" s="2"/>
      <c r="E23" s="2"/>
      <c r="F23" s="2"/>
      <c r="G23" s="2"/>
      <c r="H23" s="2"/>
      <c r="I23" s="2"/>
      <c r="J23" s="2"/>
      <c r="K23" s="2"/>
      <c r="L23" s="2"/>
      <c r="M23" s="2"/>
      <c r="N23" s="2"/>
      <c r="O23" s="2"/>
      <c r="P23" s="2"/>
      <c r="Q23" s="2"/>
      <c r="R23" s="2"/>
      <c r="S23" s="2"/>
      <c r="T23" s="2"/>
      <c r="U23" s="2"/>
      <c r="V23" s="2"/>
      <c r="W23" s="2"/>
    </row>
    <row r="24" spans="1:23" ht="18" x14ac:dyDescent="0.6">
      <c r="A24" s="2" t="s">
        <v>45</v>
      </c>
      <c r="B24" s="2"/>
      <c r="C24" s="2"/>
      <c r="D24" s="2"/>
      <c r="E24" s="2"/>
      <c r="F24" s="2"/>
      <c r="G24" s="2"/>
      <c r="H24" s="2"/>
      <c r="I24" s="2"/>
      <c r="J24" s="2"/>
      <c r="K24" s="2"/>
      <c r="L24" s="2"/>
      <c r="M24" s="2"/>
      <c r="N24" s="2"/>
      <c r="O24" s="2"/>
      <c r="P24" s="2"/>
      <c r="Q24" s="2"/>
      <c r="R24" s="2"/>
      <c r="S24" s="2"/>
      <c r="T24" s="2"/>
      <c r="U24" s="2"/>
      <c r="V24" s="2"/>
      <c r="W24" s="2"/>
    </row>
    <row r="25" spans="1:23" ht="18" x14ac:dyDescent="0.6">
      <c r="A25" s="2" t="s">
        <v>43</v>
      </c>
      <c r="B25" s="2"/>
      <c r="C25" s="2"/>
      <c r="D25" s="2"/>
      <c r="E25" s="2"/>
      <c r="F25" s="2"/>
      <c r="G25" s="2"/>
      <c r="H25" s="2"/>
      <c r="I25" s="2"/>
      <c r="J25" s="2"/>
      <c r="K25" s="2"/>
      <c r="L25" s="2"/>
      <c r="M25" s="2"/>
      <c r="N25" s="2"/>
      <c r="O25" s="2"/>
      <c r="P25" s="2"/>
      <c r="Q25" s="2"/>
      <c r="R25" s="2"/>
      <c r="S25" s="2"/>
      <c r="T25" s="2"/>
      <c r="U25" s="2"/>
      <c r="V25" s="2"/>
      <c r="W25" s="2"/>
    </row>
    <row r="26" spans="1:23" ht="15.4" x14ac:dyDescent="0.45">
      <c r="A26" s="2" t="s">
        <v>44</v>
      </c>
      <c r="B26" s="2"/>
      <c r="C26" s="2"/>
      <c r="D26" s="2"/>
      <c r="E26" s="2"/>
      <c r="F26" s="2"/>
      <c r="G26" s="2"/>
      <c r="H26" s="2"/>
      <c r="I26" s="2"/>
      <c r="J26" s="2"/>
      <c r="K26" s="2"/>
      <c r="L26" s="2"/>
      <c r="M26" s="2"/>
      <c r="N26" s="2"/>
      <c r="O26" s="2"/>
      <c r="P26" s="2"/>
      <c r="Q26" s="2"/>
      <c r="R26" s="2"/>
      <c r="S26" s="2"/>
      <c r="T26" s="2"/>
      <c r="U26" s="2"/>
      <c r="V26" s="2"/>
      <c r="W26" s="2"/>
    </row>
    <row r="27" spans="1:23" ht="15.4" x14ac:dyDescent="0.45">
      <c r="A27" s="2"/>
      <c r="B27" s="2"/>
      <c r="C27" s="2"/>
      <c r="D27" s="2"/>
      <c r="E27" s="2"/>
      <c r="F27" s="2"/>
      <c r="G27" s="2"/>
      <c r="H27" s="2"/>
      <c r="I27" s="2"/>
      <c r="J27" s="2"/>
      <c r="K27" s="2"/>
      <c r="L27" s="2"/>
      <c r="M27" s="2"/>
      <c r="N27" s="2"/>
      <c r="O27" s="2"/>
      <c r="P27" s="2"/>
      <c r="Q27" s="2"/>
      <c r="R27" s="2"/>
      <c r="S27" s="2"/>
      <c r="T27" s="2"/>
      <c r="U27" s="2"/>
      <c r="V27" s="2"/>
      <c r="W27" s="2"/>
    </row>
    <row r="28" spans="1:23" ht="15.4" x14ac:dyDescent="0.45">
      <c r="A28" s="3" t="s">
        <v>24</v>
      </c>
      <c r="B28" s="2"/>
      <c r="C28" s="2"/>
      <c r="D28" s="2"/>
      <c r="E28" s="2"/>
      <c r="F28" s="2"/>
      <c r="G28" s="2"/>
      <c r="H28" s="2"/>
      <c r="I28" s="2"/>
      <c r="J28" s="2"/>
      <c r="K28" s="2"/>
      <c r="L28" s="2"/>
      <c r="M28" s="2"/>
      <c r="N28" s="2"/>
      <c r="O28" s="2"/>
      <c r="P28" s="2"/>
      <c r="Q28" s="2"/>
      <c r="R28" s="2"/>
      <c r="S28" s="2"/>
      <c r="T28" s="2"/>
      <c r="U28" s="2"/>
      <c r="V28" s="2"/>
      <c r="W28" s="2"/>
    </row>
    <row r="29" spans="1:23" ht="15.4" x14ac:dyDescent="0.45">
      <c r="A29" s="2"/>
      <c r="B29" s="2"/>
      <c r="C29" s="2"/>
      <c r="D29" s="2"/>
      <c r="E29" s="2"/>
      <c r="F29" s="2"/>
      <c r="G29" s="2"/>
      <c r="H29" s="2"/>
      <c r="I29" s="2"/>
      <c r="J29" s="2"/>
      <c r="K29" s="2"/>
      <c r="L29" s="2"/>
      <c r="M29" s="2"/>
      <c r="N29" s="2"/>
      <c r="O29" s="2"/>
      <c r="P29" s="2"/>
      <c r="Q29" s="2"/>
      <c r="R29" s="2"/>
      <c r="S29" s="2"/>
      <c r="T29" s="2"/>
      <c r="U29" s="2"/>
      <c r="V29" s="2"/>
      <c r="W29" s="2"/>
    </row>
    <row r="30" spans="1:23" ht="15.4" x14ac:dyDescent="0.45">
      <c r="A30" s="2" t="s">
        <v>25</v>
      </c>
      <c r="B30" s="2"/>
      <c r="C30" s="2"/>
      <c r="D30" s="2"/>
      <c r="E30" s="2"/>
      <c r="F30" s="2"/>
      <c r="G30" s="2"/>
      <c r="H30" s="2"/>
      <c r="I30" s="2"/>
      <c r="J30" s="2"/>
      <c r="K30" s="2"/>
      <c r="L30" s="2"/>
      <c r="M30" s="2"/>
      <c r="N30" s="2"/>
      <c r="O30" s="2"/>
      <c r="P30" s="2"/>
      <c r="Q30" s="2"/>
      <c r="R30" s="2"/>
      <c r="S30" s="2"/>
      <c r="T30" s="2"/>
      <c r="U30" s="2"/>
      <c r="V30" s="2"/>
      <c r="W30" s="2"/>
    </row>
    <row r="31" spans="1:23" ht="15.4" x14ac:dyDescent="0.45">
      <c r="A31" s="2" t="s">
        <v>36</v>
      </c>
      <c r="B31" s="2"/>
      <c r="C31" s="2"/>
      <c r="D31" s="2"/>
      <c r="E31" s="2"/>
      <c r="F31" s="2"/>
      <c r="G31" s="2"/>
      <c r="H31" s="2"/>
      <c r="I31" s="2"/>
      <c r="J31" s="2"/>
      <c r="K31" s="2"/>
      <c r="L31" s="2"/>
      <c r="M31" s="2"/>
      <c r="N31" s="2"/>
      <c r="O31" s="2"/>
      <c r="P31" s="2"/>
      <c r="Q31" s="2"/>
      <c r="R31" s="2"/>
      <c r="S31" s="2"/>
      <c r="T31" s="2"/>
      <c r="U31" s="2"/>
      <c r="V31" s="2"/>
      <c r="W31" s="2"/>
    </row>
    <row r="32" spans="1:23" ht="15.4" x14ac:dyDescent="0.45">
      <c r="A32" s="2" t="s">
        <v>40</v>
      </c>
      <c r="B32" s="2"/>
      <c r="C32" s="2"/>
      <c r="D32" s="2"/>
      <c r="E32" s="2"/>
      <c r="F32" s="2"/>
      <c r="G32" s="2"/>
      <c r="H32" s="2"/>
      <c r="I32" s="2"/>
      <c r="J32" s="2"/>
      <c r="K32" s="2"/>
      <c r="L32" s="2"/>
      <c r="M32" s="2"/>
      <c r="N32" s="2"/>
      <c r="O32" s="2"/>
      <c r="P32" s="2"/>
      <c r="Q32" s="2"/>
      <c r="R32" s="2"/>
      <c r="S32" s="2"/>
      <c r="T32" s="2"/>
      <c r="U32" s="2"/>
      <c r="V32" s="2"/>
      <c r="W32" s="2"/>
    </row>
    <row r="33" spans="1:23" ht="15.4" x14ac:dyDescent="0.45">
      <c r="A33" s="2" t="s">
        <v>37</v>
      </c>
      <c r="B33" s="2"/>
      <c r="C33" s="2"/>
      <c r="D33" s="2"/>
      <c r="E33" s="2"/>
      <c r="F33" s="2"/>
      <c r="G33" s="2"/>
      <c r="H33" s="2"/>
      <c r="I33" s="2"/>
      <c r="J33" s="2"/>
      <c r="K33" s="2"/>
      <c r="L33" s="2"/>
      <c r="M33" s="2"/>
      <c r="N33" s="2"/>
      <c r="O33" s="2"/>
      <c r="P33" s="2"/>
      <c r="Q33" s="2"/>
      <c r="R33" s="2"/>
      <c r="S33" s="2"/>
      <c r="T33" s="2"/>
      <c r="U33" s="2"/>
      <c r="V33" s="2"/>
      <c r="W33" s="2"/>
    </row>
    <row r="34" spans="1:23" ht="15.4" x14ac:dyDescent="0.45">
      <c r="A34" s="4" t="s">
        <v>41</v>
      </c>
      <c r="B34" s="2"/>
      <c r="C34" s="2"/>
      <c r="D34" s="2"/>
      <c r="E34" s="2"/>
      <c r="F34" s="2"/>
      <c r="G34" s="2"/>
      <c r="H34" s="2"/>
      <c r="I34" s="2"/>
      <c r="J34" s="2"/>
      <c r="K34" s="2"/>
      <c r="L34" s="2"/>
      <c r="M34" s="2"/>
      <c r="N34" s="2"/>
      <c r="O34" s="2"/>
      <c r="P34" s="2"/>
      <c r="Q34" s="2"/>
      <c r="R34" s="2"/>
      <c r="S34" s="2"/>
      <c r="T34" s="2"/>
      <c r="U34" s="2"/>
      <c r="V34" s="2"/>
      <c r="W34" s="2"/>
    </row>
    <row r="35" spans="1:23" ht="15.4" x14ac:dyDescent="0.45">
      <c r="A35" s="2"/>
      <c r="B35" s="2"/>
      <c r="C35" s="2"/>
      <c r="D35" s="2"/>
      <c r="E35" s="2"/>
      <c r="F35" s="2"/>
      <c r="G35" s="2"/>
      <c r="H35" s="2"/>
      <c r="I35" s="2"/>
      <c r="J35" s="2"/>
      <c r="K35" s="2"/>
      <c r="L35" s="2"/>
      <c r="M35" s="2"/>
      <c r="N35" s="2"/>
      <c r="O35" s="2"/>
      <c r="P35" s="2"/>
      <c r="Q35" s="2"/>
      <c r="R35" s="2"/>
      <c r="S35" s="2"/>
      <c r="T35" s="2"/>
      <c r="U35" s="2"/>
      <c r="V35" s="2"/>
      <c r="W35" s="2"/>
    </row>
    <row r="36" spans="1:23" ht="15.4" x14ac:dyDescent="0.45">
      <c r="A36" s="2"/>
      <c r="B36" s="2"/>
      <c r="C36" s="2"/>
      <c r="D36" s="2"/>
      <c r="E36" s="2"/>
      <c r="F36" s="2"/>
      <c r="G36" s="2"/>
      <c r="H36" s="2"/>
      <c r="I36" s="2"/>
      <c r="J36" s="2"/>
      <c r="K36" s="2"/>
      <c r="L36" s="2"/>
      <c r="M36" s="2"/>
      <c r="N36" s="2"/>
      <c r="O36" s="2"/>
      <c r="P36" s="2"/>
      <c r="Q36" s="2"/>
      <c r="R36" s="2"/>
      <c r="S36" s="2"/>
      <c r="T36" s="2"/>
      <c r="U36" s="2"/>
      <c r="V36" s="2"/>
      <c r="W36" s="2"/>
    </row>
    <row r="37" spans="1:23" ht="15.4" x14ac:dyDescent="0.45">
      <c r="A37" s="2"/>
      <c r="B37" s="2"/>
      <c r="C37" s="2"/>
      <c r="D37" s="2"/>
      <c r="E37" s="2"/>
      <c r="F37" s="2"/>
      <c r="G37" s="2"/>
      <c r="H37" s="2"/>
      <c r="I37" s="2"/>
      <c r="J37" s="2"/>
      <c r="K37" s="2"/>
      <c r="L37" s="2"/>
      <c r="M37" s="2"/>
      <c r="N37" s="2"/>
      <c r="O37" s="2"/>
      <c r="P37" s="2"/>
      <c r="Q37" s="2"/>
      <c r="R37" s="2"/>
      <c r="S37" s="2"/>
      <c r="T37" s="2"/>
      <c r="U37" s="2"/>
      <c r="V37" s="2"/>
      <c r="W37" s="2"/>
    </row>
    <row r="38" spans="1:23" ht="15.4" x14ac:dyDescent="0.45">
      <c r="A38" s="2"/>
      <c r="B38" s="2"/>
      <c r="C38" s="2"/>
      <c r="D38" s="2"/>
      <c r="E38" s="2"/>
      <c r="F38" s="2"/>
      <c r="G38" s="2"/>
      <c r="H38" s="2"/>
      <c r="I38" s="2"/>
      <c r="J38" s="2"/>
      <c r="K38" s="2"/>
      <c r="L38" s="2"/>
      <c r="M38" s="2"/>
      <c r="N38" s="2"/>
      <c r="O38" s="2"/>
      <c r="P38" s="2"/>
      <c r="Q38" s="2"/>
      <c r="R38" s="2"/>
      <c r="S38" s="2"/>
      <c r="T38" s="2"/>
      <c r="U38" s="2"/>
      <c r="V38" s="2"/>
      <c r="W38" s="2"/>
    </row>
  </sheetData>
  <mergeCells count="5">
    <mergeCell ref="E9:E10"/>
    <mergeCell ref="F10:G10"/>
    <mergeCell ref="F9:G9"/>
    <mergeCell ref="E15:E16"/>
    <mergeCell ref="E17:E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A.1</vt:lpstr>
      <vt:lpstr>A.2</vt:lpstr>
      <vt:lpstr>A.3</vt:lpstr>
      <vt:lpstr>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Adeline Lee</dc:creator>
  <cp:lastModifiedBy>Adeline Lee</cp:lastModifiedBy>
  <dcterms:created xsi:type="dcterms:W3CDTF">2026-05-04T11:32:52Z</dcterms:created>
  <dcterms:modified xsi:type="dcterms:W3CDTF">2026-07-02T11:42:18Z</dcterms:modified>
</cp:coreProperties>
</file>